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Vishnu\DA\"/>
    </mc:Choice>
  </mc:AlternateContent>
  <xr:revisionPtr revIDLastSave="0" documentId="13_ncr:1_{6F1D98A7-F02E-48CF-8F5D-10B954FE0552}" xr6:coauthVersionLast="47" xr6:coauthVersionMax="47" xr10:uidLastSave="{00000000-0000-0000-0000-000000000000}"/>
  <bookViews>
    <workbookView xWindow="-108" yWindow="-108" windowWidth="23256" windowHeight="12456" firstSheet="3" activeTab="5" xr2:uid="{00000000-000D-0000-FFFF-FFFF00000000}"/>
  </bookViews>
  <sheets>
    <sheet name="Sales_Data" sheetId="1" r:id="rId1"/>
    <sheet name="Scenario Summary" sheetId="7" r:id="rId2"/>
    <sheet name="Scenario Summary 2" sheetId="8" r:id="rId3"/>
    <sheet name="Scenario Summary 3" sheetId="9" r:id="rId4"/>
    <sheet name="Scenario Summary 4" sheetId="10" r:id="rId5"/>
    <sheet name="Scenario Summary 5" sheetId="11" r:id="rId6"/>
    <sheet name="Scenario Summary 6" sheetId="12" r:id="rId7"/>
    <sheet name="Tasks" sheetId="2" r:id="rId8"/>
    <sheet name="Answers_and_Steps" sheetId="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" i="2" l="1"/>
  <c r="H16" i="2"/>
  <c r="H17" i="2"/>
  <c r="H18" i="2"/>
  <c r="H19" i="2"/>
  <c r="H20" i="2"/>
  <c r="H21" i="2"/>
  <c r="H22" i="2"/>
  <c r="H23" i="2"/>
  <c r="H24" i="2"/>
  <c r="H25" i="2"/>
  <c r="O15" i="2"/>
  <c r="N15" i="2"/>
  <c r="P15" i="2" s="1"/>
  <c r="O13" i="2"/>
  <c r="P13" i="2" s="1"/>
  <c r="N13" i="2"/>
  <c r="G15" i="2"/>
  <c r="G16" i="2"/>
  <c r="G17" i="2"/>
  <c r="G18" i="2"/>
  <c r="G19" i="2"/>
  <c r="G20" i="2"/>
  <c r="G21" i="2"/>
  <c r="G22" i="2"/>
  <c r="G23" i="2"/>
  <c r="G24" i="2"/>
  <c r="G25" i="2"/>
  <c r="F15" i="2"/>
  <c r="F16" i="2"/>
  <c r="F17" i="2"/>
  <c r="F18" i="2"/>
  <c r="F19" i="2"/>
  <c r="F20" i="2"/>
  <c r="F21" i="2"/>
  <c r="F22" i="2"/>
  <c r="F23" i="2"/>
  <c r="F24" i="2"/>
  <c r="F25" i="2"/>
  <c r="G14" i="2"/>
  <c r="F14" i="2"/>
  <c r="H14" i="2" l="1"/>
  <c r="J18" i="2" l="1"/>
  <c r="J21" i="2"/>
</calcChain>
</file>

<file path=xl/sharedStrings.xml><?xml version="1.0" encoding="utf-8"?>
<sst xmlns="http://schemas.openxmlformats.org/spreadsheetml/2006/main" count="156" uniqueCount="77">
  <si>
    <t>Month</t>
  </si>
  <si>
    <t>Units Sold</t>
  </si>
  <si>
    <t>Selling Price</t>
  </si>
  <si>
    <t>Variable Cost/Unit</t>
  </si>
  <si>
    <t>Fixed Cost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</si>
  <si>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</si>
  <si>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</si>
  <si>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</si>
  <si>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</si>
  <si>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</si>
  <si>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</si>
  <si>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</si>
  <si>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</si>
  <si>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</si>
  <si>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</si>
  <si>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</si>
  <si>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</si>
  <si>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WHAT-IF ANALYSIS PRACTICE TASKS</t>
  </si>
  <si>
    <t>1. Calculate Revenue = Units Sold * Selling Price</t>
  </si>
  <si>
    <t>2. Calculate Total Variable Cost = Units Sold * Variable Cost/Unit</t>
  </si>
  <si>
    <t>3. Calculate Profit = Revenue - Variable Cost - Fixed Cost</t>
  </si>
  <si>
    <t>4. Use Goal Seek: Find Units Sold required to earn Profit of 500000 in Dec.</t>
  </si>
  <si>
    <t>5. Use Goal Seek: Find Selling Price required to earn Profit of 700000 in Dec.</t>
  </si>
  <si>
    <t>6. Create a One-Variable Data Table for Selling Price from 400 to 700.</t>
  </si>
  <si>
    <t>7. Create a Two-Variable Data Table using Selling Price (400-700) and Units Sold (1500-3500).</t>
  </si>
  <si>
    <t>8. Create Scenario Manager scenarios: Best Case, Expected Case, Worst Case.</t>
  </si>
  <si>
    <t>9. Determine Break-even Units using What-If tools.</t>
  </si>
  <si>
    <t>FORMULAS, ANSWERS &amp; STEPS</t>
  </si>
  <si>
    <t>Revenue Formula: =B2*C2</t>
  </si>
  <si>
    <t>Variable Cost Formula: =B2*D2</t>
  </si>
  <si>
    <t>Profit Formula: =(B2*C2)-(B2*D2)-E2</t>
  </si>
  <si>
    <t>Goal Seek Task 1 Answer (Dec): Target Profit=500000</t>
  </si>
  <si>
    <t>Formula: Profit=(Units*(500-300))-150000</t>
  </si>
  <si>
    <t>Required Units Sold = 3250</t>
  </si>
  <si>
    <t>Goal Seek Task 2 Answer (Dec): Target Profit=700000 with Units=3000</t>
  </si>
  <si>
    <t>Required Selling Price ≈ 583.33</t>
  </si>
  <si>
    <t>Goal Seek Steps: Data &gt; What-If Analysis &gt; Goal Seek</t>
  </si>
  <si>
    <t>Set Cell = Profit Cell</t>
  </si>
  <si>
    <t>To Value = Target Profit</t>
  </si>
  <si>
    <t>By Changing Cell = Units Sold or Selling Price</t>
  </si>
  <si>
    <t>Break-even Units Formula = Fixed Cost / (Selling Price - Variable Cost)</t>
  </si>
  <si>
    <t>Answer = 150000 / (500-300) = 750 Units</t>
  </si>
  <si>
    <t>Scenario Manager Example:</t>
  </si>
  <si>
    <t>Best Case: Price=600, Variable Cost=280, Units=3500</t>
  </si>
  <si>
    <t>Expected Case: Price=500, Variable Cost=300, Units=3000</t>
  </si>
  <si>
    <t>Worst Case: Price=450, Variable Cost=330, Units=2000</t>
  </si>
  <si>
    <t>$B$1</t>
  </si>
  <si>
    <t>JAN</t>
  </si>
  <si>
    <t>Created by Vishnu K.Unni on 24-07-2026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</si>
  <si>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</si>
  <si>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</si>
  <si>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</si>
  <si>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</si>
  <si>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</si>
  <si>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</si>
  <si>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</si>
  <si>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Created by Vishnu K.Unni on 24-07-2026
Modified by Vishnu K.Unni on 24-07-2026</t>
  </si>
  <si>
    <t>$B$14</t>
  </si>
  <si>
    <t>$G$14</t>
  </si>
  <si>
    <t>Created by Vishnu K.Unni on 25-07-2026</t>
  </si>
  <si>
    <t>3) Profit</t>
  </si>
  <si>
    <t>2) Total Variable cost</t>
  </si>
  <si>
    <t>1) Revenue</t>
  </si>
  <si>
    <t>4) Dec</t>
  </si>
  <si>
    <t>5) Dec</t>
  </si>
  <si>
    <t>6)</t>
  </si>
  <si>
    <t>Selling price</t>
  </si>
  <si>
    <t>7) selling price</t>
  </si>
  <si>
    <t>8)</t>
  </si>
  <si>
    <t>$C$14</t>
  </si>
  <si>
    <t>Current</t>
  </si>
  <si>
    <t>Created by Vishnu K.Unni on 26-07-2026</t>
  </si>
  <si>
    <t>Best Case</t>
  </si>
  <si>
    <t>Expected</t>
  </si>
  <si>
    <t>Worst Case</t>
  </si>
  <si>
    <t>Expected Case</t>
  </si>
  <si>
    <t>Created by Vishnu K.Unni on 26-07-2026
Modified by Vishnu K.Unni on 26-07-2026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</si>
</sst>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0" xfId="0" applyFill="1" applyBorder="1" applyAlignment="1"/>
    <xf numFmtId="0" fontId="0" fillId="0" borderId="2" xfId="0" applyFill="1" applyBorder="1" applyAlignment="1"/>
    <xf numFmtId="0" fontId="2" fillId="2" borderId="3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0" borderId="4" xfId="0" applyFill="1" applyBorder="1" applyAlignment="1"/>
    <xf numFmtId="0" fontId="3" fillId="3" borderId="0" xfId="0" applyFont="1" applyFill="1" applyBorder="1" applyAlignment="1">
      <alignment horizontal="left"/>
    </xf>
    <xf numFmtId="0" fontId="4" fillId="3" borderId="4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right"/>
    </xf>
    <xf numFmtId="0" fontId="5" fillId="2" borderId="3" xfId="0" applyFont="1" applyFill="1" applyBorder="1" applyAlignment="1">
      <alignment horizontal="right"/>
    </xf>
    <xf numFmtId="0" fontId="0" fillId="4" borderId="0" xfId="0" applyFill="1" applyBorder="1" applyAlignment="1"/>
    <xf numFmtId="0" fontId="6" fillId="0" borderId="0" xfId="0" applyFont="1" applyFill="1" applyBorder="1" applyAlignment="1">
      <alignment vertical="top" wrapText="1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workbookViewId="0">
      <selection activeCell="F1" sqref="F1"/>
    </sheetView>
  </sheetViews>
  <sheetFormatPr defaultRowHeight="14.4" x14ac:dyDescent="0.3"/>
  <cols>
    <col min="1" max="1" width="8.6640625" customWidth="1"/>
    <col min="2" max="2" width="13" customWidth="1"/>
    <col min="3" max="3" width="11.6640625" customWidth="1"/>
    <col min="4" max="4" width="17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1200</v>
      </c>
      <c r="C2">
        <v>500</v>
      </c>
      <c r="D2">
        <v>300</v>
      </c>
      <c r="E2">
        <v>150000</v>
      </c>
    </row>
    <row r="3" spans="1:5" x14ac:dyDescent="0.3">
      <c r="A3" t="s">
        <v>6</v>
      </c>
      <c r="B3">
        <v>1350</v>
      </c>
      <c r="C3">
        <v>500</v>
      </c>
      <c r="D3">
        <v>300</v>
      </c>
      <c r="E3">
        <v>150000</v>
      </c>
    </row>
    <row r="4" spans="1:5" x14ac:dyDescent="0.3">
      <c r="A4" t="s">
        <v>7</v>
      </c>
      <c r="B4">
        <v>1400</v>
      </c>
      <c r="C4">
        <v>500</v>
      </c>
      <c r="D4">
        <v>300</v>
      </c>
      <c r="E4">
        <v>150000</v>
      </c>
    </row>
    <row r="5" spans="1:5" x14ac:dyDescent="0.3">
      <c r="A5" t="s">
        <v>8</v>
      </c>
      <c r="B5">
        <v>1600</v>
      </c>
      <c r="C5">
        <v>500</v>
      </c>
      <c r="D5">
        <v>300</v>
      </c>
      <c r="E5">
        <v>150000</v>
      </c>
    </row>
    <row r="6" spans="1:5" x14ac:dyDescent="0.3">
      <c r="A6" t="s">
        <v>9</v>
      </c>
      <c r="B6">
        <v>1800</v>
      </c>
      <c r="C6">
        <v>500</v>
      </c>
      <c r="D6">
        <v>300</v>
      </c>
      <c r="E6">
        <v>150000</v>
      </c>
    </row>
    <row r="7" spans="1:5" x14ac:dyDescent="0.3">
      <c r="A7" t="s">
        <v>10</v>
      </c>
      <c r="B7">
        <v>2000</v>
      </c>
      <c r="C7">
        <v>500</v>
      </c>
      <c r="D7">
        <v>300</v>
      </c>
      <c r="E7">
        <v>150000</v>
      </c>
    </row>
    <row r="8" spans="1:5" x14ac:dyDescent="0.3">
      <c r="A8" t="s">
        <v>11</v>
      </c>
      <c r="B8">
        <v>2100</v>
      </c>
      <c r="C8">
        <v>500</v>
      </c>
      <c r="D8">
        <v>300</v>
      </c>
      <c r="E8">
        <v>150000</v>
      </c>
    </row>
    <row r="9" spans="1:5" x14ac:dyDescent="0.3">
      <c r="A9" t="s">
        <v>12</v>
      </c>
      <c r="B9">
        <v>1900</v>
      </c>
      <c r="C9">
        <v>500</v>
      </c>
      <c r="D9">
        <v>300</v>
      </c>
      <c r="E9">
        <v>150000</v>
      </c>
    </row>
    <row r="10" spans="1:5" x14ac:dyDescent="0.3">
      <c r="A10" t="s">
        <v>13</v>
      </c>
      <c r="B10">
        <v>2200</v>
      </c>
      <c r="C10">
        <v>500</v>
      </c>
      <c r="D10">
        <v>300</v>
      </c>
      <c r="E10">
        <v>150000</v>
      </c>
    </row>
    <row r="11" spans="1:5" x14ac:dyDescent="0.3">
      <c r="A11" t="s">
        <v>14</v>
      </c>
      <c r="B11">
        <v>2400</v>
      </c>
      <c r="C11">
        <v>500</v>
      </c>
      <c r="D11">
        <v>300</v>
      </c>
      <c r="E11">
        <v>150000</v>
      </c>
    </row>
    <row r="12" spans="1:5" x14ac:dyDescent="0.3">
      <c r="A12" t="s">
        <v>15</v>
      </c>
      <c r="B12">
        <v>2600</v>
      </c>
      <c r="C12">
        <v>500</v>
      </c>
      <c r="D12">
        <v>300</v>
      </c>
      <c r="E12">
        <v>150000</v>
      </c>
    </row>
    <row r="13" spans="1:5" x14ac:dyDescent="0.3">
      <c r="A13" t="s">
        <v>16</v>
      </c>
      <c r="B13">
        <v>3000</v>
      </c>
      <c r="C13">
        <v>500</v>
      </c>
      <c r="D13">
        <v>300</v>
      </c>
      <c r="E13">
        <v>150000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76DDA-41A8-4384-BD94-2AA75B66AFF0}">
  <sheetPr>
    <outlinePr summaryBelow="0"/>
  </sheetPr>
  <dimension ref="B1:E11"/>
  <sheetViews>
    <sheetView showGridLines="0" workbookViewId="0"/>
  </sheetViews>
  <sheetFormatPr defaultRowHeight="14.4" outlineLevelRow="1" outlineLevelCol="1" x14ac:dyDescent="0.3"/>
  <cols>
    <col min="3" max="3" width="6.109375" bestFit="1" customWidth="1"/>
    <col min="4" max="5" width="13.109375" bestFit="1" customWidth="1" outlineLevel="1"/>
  </cols>
  <sheetData>
    <row r="1" spans="2:5" ht="15" thickBot="1" x14ac:dyDescent="0.35"/>
    <row r="2" spans="2:5" ht="15.6" x14ac:dyDescent="0.3">
      <c r="B2" s="5" t="s">
        <v>49</v>
      </c>
      <c r="C2" s="5"/>
      <c r="D2" s="10"/>
      <c r="E2" s="10"/>
    </row>
    <row r="3" spans="2:5" ht="15.6" collapsed="1" x14ac:dyDescent="0.3">
      <c r="B3" s="4"/>
      <c r="C3" s="4"/>
      <c r="D3" s="11" t="s">
        <v>51</v>
      </c>
      <c r="E3" s="11" t="s">
        <v>47</v>
      </c>
    </row>
    <row r="4" spans="2:5" ht="61.2" hidden="1" outlineLevel="1" x14ac:dyDescent="0.3">
      <c r="B4" s="7"/>
      <c r="C4" s="7"/>
      <c r="D4" s="2"/>
      <c r="E4" s="13" t="s">
        <v>56</v>
      </c>
    </row>
    <row r="5" spans="2:5" x14ac:dyDescent="0.3">
      <c r="B5" s="8" t="s">
        <v>50</v>
      </c>
      <c r="C5" s="8"/>
      <c r="D5" s="6"/>
      <c r="E5" s="6"/>
    </row>
    <row r="6" spans="2:5" outlineLevel="1" x14ac:dyDescent="0.3">
      <c r="B6" s="7"/>
      <c r="C6" s="7" t="s">
        <v>57</v>
      </c>
      <c r="D6" s="2">
        <v>1200</v>
      </c>
      <c r="E6" s="12">
        <v>1200</v>
      </c>
    </row>
    <row r="7" spans="2:5" x14ac:dyDescent="0.3">
      <c r="B7" s="8" t="s">
        <v>52</v>
      </c>
      <c r="C7" s="8"/>
      <c r="D7" s="6"/>
      <c r="E7" s="6"/>
    </row>
    <row r="8" spans="2:5" ht="15" outlineLevel="1" thickBot="1" x14ac:dyDescent="0.35">
      <c r="B8" s="9"/>
      <c r="C8" s="9" t="s">
        <v>46</v>
      </c>
      <c r="D8" s="3"/>
      <c r="E8" s="3"/>
    </row>
    <row r="9" spans="2:5" x14ac:dyDescent="0.3">
      <c r="B9" t="s">
        <v>53</v>
      </c>
    </row>
    <row r="10" spans="2:5" x14ac:dyDescent="0.3">
      <c r="B10" t="s">
        <v>54</v>
      </c>
    </row>
    <row r="11" spans="2:5" x14ac:dyDescent="0.3">
      <c r="B11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E781-B2B0-442E-BA31-0516CAA12DD0}">
  <sheetPr>
    <outlinePr summaryBelow="0"/>
  </sheetPr>
  <dimension ref="B1:G11"/>
  <sheetViews>
    <sheetView showGridLines="0" workbookViewId="0">
      <selection activeCell="G27" sqref="G27"/>
    </sheetView>
  </sheetViews>
  <sheetFormatPr defaultRowHeight="14.4" outlineLevelRow="1" outlineLevelCol="1" x14ac:dyDescent="0.3"/>
  <cols>
    <col min="3" max="3" width="6.21875" bestFit="1" customWidth="1"/>
    <col min="4" max="7" width="13.109375" bestFit="1" customWidth="1" outlineLevel="1"/>
  </cols>
  <sheetData>
    <row r="1" spans="2:7" ht="15" thickBot="1" x14ac:dyDescent="0.35"/>
    <row r="2" spans="2:7" ht="15.6" x14ac:dyDescent="0.3">
      <c r="B2" s="5" t="s">
        <v>49</v>
      </c>
      <c r="C2" s="5"/>
      <c r="D2" s="10"/>
      <c r="E2" s="10"/>
      <c r="F2" s="10"/>
      <c r="G2" s="10"/>
    </row>
    <row r="3" spans="2:7" ht="15.6" collapsed="1" x14ac:dyDescent="0.3">
      <c r="B3" s="4"/>
      <c r="C3" s="4"/>
      <c r="D3" s="11" t="s">
        <v>51</v>
      </c>
      <c r="E3" s="11" t="s">
        <v>5</v>
      </c>
      <c r="F3" s="11" t="s">
        <v>6</v>
      </c>
      <c r="G3" s="11" t="s">
        <v>7</v>
      </c>
    </row>
    <row r="4" spans="2:7" ht="30.6" hidden="1" outlineLevel="1" x14ac:dyDescent="0.3">
      <c r="B4" s="7"/>
      <c r="C4" s="7"/>
      <c r="D4" s="2"/>
      <c r="E4" s="13" t="s">
        <v>48</v>
      </c>
      <c r="F4" s="13" t="s">
        <v>48</v>
      </c>
      <c r="G4" s="13" t="s">
        <v>48</v>
      </c>
    </row>
    <row r="5" spans="2:7" x14ac:dyDescent="0.3">
      <c r="B5" s="8" t="s">
        <v>50</v>
      </c>
      <c r="C5" s="8"/>
      <c r="D5" s="6"/>
      <c r="E5" s="6"/>
      <c r="F5" s="6"/>
      <c r="G5" s="6"/>
    </row>
    <row r="6" spans="2:7" outlineLevel="1" x14ac:dyDescent="0.3">
      <c r="B6" s="7"/>
      <c r="C6" s="7" t="s">
        <v>58</v>
      </c>
      <c r="D6" s="2">
        <v>1200</v>
      </c>
      <c r="E6" s="12">
        <v>1200</v>
      </c>
      <c r="F6" s="12">
        <v>1350</v>
      </c>
      <c r="G6" s="12">
        <v>1400</v>
      </c>
    </row>
    <row r="7" spans="2:7" x14ac:dyDescent="0.3">
      <c r="B7" s="8" t="s">
        <v>52</v>
      </c>
      <c r="C7" s="8"/>
      <c r="D7" s="6"/>
      <c r="E7" s="6"/>
      <c r="F7" s="6"/>
      <c r="G7" s="6"/>
    </row>
    <row r="8" spans="2:7" ht="15" outlineLevel="1" thickBot="1" x14ac:dyDescent="0.35">
      <c r="B8" s="9"/>
      <c r="C8" s="9" t="s">
        <v>46</v>
      </c>
      <c r="D8" s="3"/>
      <c r="E8" s="3"/>
      <c r="F8" s="3"/>
      <c r="G8" s="3"/>
    </row>
    <row r="9" spans="2:7" x14ac:dyDescent="0.3">
      <c r="B9" t="s">
        <v>53</v>
      </c>
    </row>
    <row r="10" spans="2:7" x14ac:dyDescent="0.3">
      <c r="B10" t="s">
        <v>54</v>
      </c>
    </row>
    <row r="11" spans="2:7" x14ac:dyDescent="0.3">
      <c r="B11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FC689-ADD7-415C-8CF0-0055013B423C}">
  <sheetPr>
    <outlinePr summaryBelow="0"/>
  </sheetPr>
  <dimension ref="B1:E11"/>
  <sheetViews>
    <sheetView showGridLines="0" workbookViewId="0"/>
  </sheetViews>
  <sheetFormatPr defaultRowHeight="14.4" outlineLevelRow="1" outlineLevelCol="1" x14ac:dyDescent="0.3"/>
  <cols>
    <col min="3" max="3" width="6.109375" bestFit="1" customWidth="1"/>
    <col min="4" max="5" width="13.109375" bestFit="1" customWidth="1" outlineLevel="1"/>
  </cols>
  <sheetData>
    <row r="1" spans="2:5" ht="15" thickBot="1" x14ac:dyDescent="0.35"/>
    <row r="2" spans="2:5" ht="15.6" x14ac:dyDescent="0.3">
      <c r="B2" s="5" t="s">
        <v>49</v>
      </c>
      <c r="C2" s="5"/>
      <c r="D2" s="10"/>
      <c r="E2" s="10"/>
    </row>
    <row r="3" spans="2:5" ht="15.6" collapsed="1" x14ac:dyDescent="0.3">
      <c r="B3" s="4"/>
      <c r="C3" s="4"/>
      <c r="D3" s="11" t="s">
        <v>51</v>
      </c>
      <c r="E3" s="11" t="s">
        <v>5</v>
      </c>
    </row>
    <row r="4" spans="2:5" ht="30.6" hidden="1" outlineLevel="1" x14ac:dyDescent="0.3">
      <c r="B4" s="7"/>
      <c r="C4" s="7"/>
      <c r="D4" s="2"/>
      <c r="E4" s="13" t="s">
        <v>59</v>
      </c>
    </row>
    <row r="5" spans="2:5" x14ac:dyDescent="0.3">
      <c r="B5" s="8" t="s">
        <v>50</v>
      </c>
      <c r="C5" s="8"/>
      <c r="D5" s="6"/>
      <c r="E5" s="6"/>
    </row>
    <row r="6" spans="2:5" outlineLevel="1" x14ac:dyDescent="0.3">
      <c r="B6" s="7"/>
      <c r="C6" s="7" t="s">
        <v>57</v>
      </c>
      <c r="D6" s="2">
        <v>1200</v>
      </c>
      <c r="E6" s="12">
        <v>1200</v>
      </c>
    </row>
    <row r="7" spans="2:5" x14ac:dyDescent="0.3">
      <c r="B7" s="8" t="s">
        <v>52</v>
      </c>
      <c r="C7" s="8"/>
      <c r="D7" s="6"/>
      <c r="E7" s="6"/>
    </row>
    <row r="8" spans="2:5" ht="15" outlineLevel="1" thickBot="1" x14ac:dyDescent="0.35">
      <c r="B8" s="9"/>
      <c r="C8" s="9" t="s">
        <v>46</v>
      </c>
      <c r="D8" s="3"/>
      <c r="E8" s="3"/>
    </row>
    <row r="9" spans="2:5" x14ac:dyDescent="0.3">
      <c r="B9" t="s">
        <v>53</v>
      </c>
    </row>
    <row r="10" spans="2:5" x14ac:dyDescent="0.3">
      <c r="B10" t="s">
        <v>54</v>
      </c>
    </row>
    <row r="11" spans="2:5" x14ac:dyDescent="0.3">
      <c r="B11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927C2-E81E-4883-8B7A-96844116F6D4}">
  <sheetPr>
    <outlinePr summaryBelow="0"/>
  </sheetPr>
  <dimension ref="B1:H11"/>
  <sheetViews>
    <sheetView showGridLines="0" workbookViewId="0"/>
  </sheetViews>
  <sheetFormatPr defaultRowHeight="14.4" outlineLevelRow="1" outlineLevelCol="1" x14ac:dyDescent="0.3"/>
  <cols>
    <col min="3" max="3" width="6.109375" bestFit="1" customWidth="1"/>
    <col min="4" max="8" width="13.109375" bestFit="1" customWidth="1" outlineLevel="1"/>
  </cols>
  <sheetData>
    <row r="1" spans="2:8" ht="15" thickBot="1" x14ac:dyDescent="0.35"/>
    <row r="2" spans="2:8" ht="15.6" x14ac:dyDescent="0.3">
      <c r="B2" s="5" t="s">
        <v>49</v>
      </c>
      <c r="C2" s="5"/>
      <c r="D2" s="10"/>
      <c r="E2" s="10"/>
      <c r="F2" s="10"/>
      <c r="G2" s="10"/>
      <c r="H2" s="10"/>
    </row>
    <row r="3" spans="2:8" ht="15.6" collapsed="1" x14ac:dyDescent="0.3">
      <c r="B3" s="4"/>
      <c r="C3" s="4"/>
      <c r="D3" s="11" t="s">
        <v>51</v>
      </c>
      <c r="E3" s="11" t="s">
        <v>70</v>
      </c>
      <c r="F3" s="11" t="s">
        <v>72</v>
      </c>
      <c r="G3" s="11" t="s">
        <v>73</v>
      </c>
      <c r="H3" s="11" t="s">
        <v>74</v>
      </c>
    </row>
    <row r="4" spans="2:8" ht="30.6" hidden="1" outlineLevel="1" x14ac:dyDescent="0.3">
      <c r="B4" s="7"/>
      <c r="C4" s="7"/>
      <c r="D4" s="2"/>
      <c r="E4" s="13" t="s">
        <v>71</v>
      </c>
      <c r="F4" s="13" t="s">
        <v>71</v>
      </c>
      <c r="G4" s="13" t="s">
        <v>71</v>
      </c>
      <c r="H4" s="13" t="s">
        <v>71</v>
      </c>
    </row>
    <row r="5" spans="2:8" x14ac:dyDescent="0.3">
      <c r="B5" s="8" t="s">
        <v>50</v>
      </c>
      <c r="C5" s="8"/>
      <c r="D5" s="6"/>
      <c r="E5" s="6"/>
      <c r="F5" s="6"/>
      <c r="G5" s="6"/>
      <c r="H5" s="6"/>
    </row>
    <row r="6" spans="2:8" outlineLevel="1" x14ac:dyDescent="0.3">
      <c r="B6" s="7"/>
      <c r="C6" s="7" t="s">
        <v>69</v>
      </c>
      <c r="D6" s="2">
        <v>500</v>
      </c>
      <c r="E6" s="12">
        <v>500</v>
      </c>
      <c r="F6" s="12">
        <v>700</v>
      </c>
      <c r="G6" s="12">
        <v>600</v>
      </c>
      <c r="H6" s="12">
        <v>400</v>
      </c>
    </row>
    <row r="7" spans="2:8" x14ac:dyDescent="0.3">
      <c r="B7" s="8" t="s">
        <v>52</v>
      </c>
      <c r="C7" s="8"/>
      <c r="D7" s="6"/>
      <c r="E7" s="6"/>
      <c r="F7" s="6"/>
      <c r="G7" s="6"/>
      <c r="H7" s="6"/>
    </row>
    <row r="8" spans="2:8" ht="15" outlineLevel="1" thickBot="1" x14ac:dyDescent="0.35">
      <c r="B8" s="9"/>
      <c r="C8" s="9" t="s">
        <v>46</v>
      </c>
      <c r="D8" s="3"/>
      <c r="E8" s="3"/>
      <c r="F8" s="3"/>
      <c r="G8" s="3"/>
      <c r="H8" s="3"/>
    </row>
    <row r="9" spans="2:8" x14ac:dyDescent="0.3">
      <c r="B9" t="s">
        <v>53</v>
      </c>
    </row>
    <row r="10" spans="2:8" x14ac:dyDescent="0.3">
      <c r="B10" t="s">
        <v>54</v>
      </c>
    </row>
    <row r="11" spans="2:8" x14ac:dyDescent="0.3">
      <c r="B11" t="s">
        <v>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BCCE3-DDD6-494C-BD5E-EBE40FE69A55}">
  <sheetPr>
    <outlinePr summaryBelow="0"/>
  </sheetPr>
  <dimension ref="B1:G11"/>
  <sheetViews>
    <sheetView showGridLines="0" tabSelected="1" workbookViewId="0"/>
  </sheetViews>
  <sheetFormatPr defaultRowHeight="14.4" outlineLevelRow="1" outlineLevelCol="1" x14ac:dyDescent="0.3"/>
  <cols>
    <col min="3" max="3" width="6.109375" bestFit="1" customWidth="1"/>
    <col min="4" max="7" width="13.109375" bestFit="1" customWidth="1" outlineLevel="1"/>
  </cols>
  <sheetData>
    <row r="1" spans="2:7" ht="15" thickBot="1" x14ac:dyDescent="0.35"/>
    <row r="2" spans="2:7" ht="15.6" x14ac:dyDescent="0.3">
      <c r="B2" s="5" t="s">
        <v>49</v>
      </c>
      <c r="C2" s="5"/>
      <c r="D2" s="10"/>
      <c r="E2" s="10"/>
      <c r="F2" s="10"/>
      <c r="G2" s="10"/>
    </row>
    <row r="3" spans="2:7" ht="15.6" collapsed="1" x14ac:dyDescent="0.3">
      <c r="B3" s="4"/>
      <c r="C3" s="4"/>
      <c r="D3" s="11" t="s">
        <v>51</v>
      </c>
      <c r="E3" s="11" t="s">
        <v>72</v>
      </c>
      <c r="F3" s="11" t="s">
        <v>75</v>
      </c>
      <c r="G3" s="11" t="s">
        <v>74</v>
      </c>
    </row>
    <row r="4" spans="2:7" ht="61.2" hidden="1" outlineLevel="1" x14ac:dyDescent="0.3">
      <c r="B4" s="7"/>
      <c r="C4" s="7"/>
      <c r="D4" s="2"/>
      <c r="E4" s="13" t="s">
        <v>71</v>
      </c>
      <c r="F4" s="13" t="s">
        <v>76</v>
      </c>
      <c r="G4" s="13" t="s">
        <v>71</v>
      </c>
    </row>
    <row r="5" spans="2:7" x14ac:dyDescent="0.3">
      <c r="B5" s="8" t="s">
        <v>50</v>
      </c>
      <c r="C5" s="8"/>
      <c r="D5" s="6"/>
      <c r="E5" s="6"/>
      <c r="F5" s="6"/>
      <c r="G5" s="6"/>
    </row>
    <row r="6" spans="2:7" outlineLevel="1" x14ac:dyDescent="0.3">
      <c r="B6" s="7"/>
      <c r="C6" s="7" t="s">
        <v>69</v>
      </c>
      <c r="D6" s="2">
        <v>500</v>
      </c>
      <c r="E6" s="12">
        <v>700</v>
      </c>
      <c r="F6" s="12">
        <v>600</v>
      </c>
      <c r="G6" s="12">
        <v>400</v>
      </c>
    </row>
    <row r="7" spans="2:7" x14ac:dyDescent="0.3">
      <c r="B7" s="8" t="s">
        <v>52</v>
      </c>
      <c r="C7" s="8"/>
      <c r="D7" s="6"/>
      <c r="E7" s="6"/>
      <c r="F7" s="6"/>
      <c r="G7" s="6"/>
    </row>
    <row r="8" spans="2:7" ht="15" outlineLevel="1" thickBot="1" x14ac:dyDescent="0.35">
      <c r="B8" s="9"/>
      <c r="C8" s="9" t="s">
        <v>46</v>
      </c>
      <c r="D8" s="3"/>
      <c r="E8" s="3"/>
      <c r="F8" s="3"/>
      <c r="G8" s="3"/>
    </row>
    <row r="9" spans="2:7" x14ac:dyDescent="0.3">
      <c r="B9" t="s">
        <v>53</v>
      </c>
    </row>
    <row r="10" spans="2:7" x14ac:dyDescent="0.3">
      <c r="B10" t="s">
        <v>54</v>
      </c>
    </row>
    <row r="11" spans="2:7" x14ac:dyDescent="0.3">
      <c r="B11" t="s">
        <v>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4E9B6-ADF4-433C-995D-8E1C86F09DD4}">
  <sheetPr>
    <outlinePr summaryBelow="0"/>
  </sheetPr>
  <dimension ref="B1:G11"/>
  <sheetViews>
    <sheetView showGridLines="0" workbookViewId="0"/>
  </sheetViews>
  <sheetFormatPr defaultRowHeight="14.4" outlineLevelRow="1" outlineLevelCol="1" x14ac:dyDescent="0.3"/>
  <cols>
    <col min="3" max="3" width="6.109375" bestFit="1" customWidth="1"/>
    <col min="4" max="7" width="13.109375" bestFit="1" customWidth="1" outlineLevel="1"/>
  </cols>
  <sheetData>
    <row r="1" spans="2:7" ht="15" thickBot="1" x14ac:dyDescent="0.35"/>
    <row r="2" spans="2:7" ht="15.6" x14ac:dyDescent="0.3">
      <c r="B2" s="5" t="s">
        <v>49</v>
      </c>
      <c r="C2" s="5"/>
      <c r="D2" s="10"/>
      <c r="E2" s="10"/>
      <c r="F2" s="10"/>
      <c r="G2" s="10"/>
    </row>
    <row r="3" spans="2:7" ht="15.6" collapsed="1" x14ac:dyDescent="0.3">
      <c r="B3" s="4"/>
      <c r="C3" s="4"/>
      <c r="D3" s="11" t="s">
        <v>51</v>
      </c>
      <c r="E3" s="11" t="s">
        <v>72</v>
      </c>
      <c r="F3" s="11" t="s">
        <v>75</v>
      </c>
      <c r="G3" s="11" t="s">
        <v>74</v>
      </c>
    </row>
    <row r="4" spans="2:7" ht="61.2" hidden="1" outlineLevel="1" x14ac:dyDescent="0.3">
      <c r="B4" s="7"/>
      <c r="C4" s="7"/>
      <c r="D4" s="2"/>
      <c r="E4" s="13" t="s">
        <v>76</v>
      </c>
      <c r="F4" s="13" t="s">
        <v>76</v>
      </c>
      <c r="G4" s="13" t="s">
        <v>76</v>
      </c>
    </row>
    <row r="5" spans="2:7" x14ac:dyDescent="0.3">
      <c r="B5" s="8" t="s">
        <v>50</v>
      </c>
      <c r="C5" s="8"/>
      <c r="D5" s="6"/>
      <c r="E5" s="6"/>
      <c r="F5" s="6"/>
      <c r="G5" s="6"/>
    </row>
    <row r="6" spans="2:7" outlineLevel="1" x14ac:dyDescent="0.3">
      <c r="B6" s="7"/>
      <c r="C6" s="7" t="s">
        <v>69</v>
      </c>
      <c r="D6" s="2">
        <v>400</v>
      </c>
      <c r="E6" s="12">
        <v>700</v>
      </c>
      <c r="F6" s="12">
        <v>600</v>
      </c>
      <c r="G6" s="12">
        <v>400</v>
      </c>
    </row>
    <row r="7" spans="2:7" x14ac:dyDescent="0.3">
      <c r="B7" s="8" t="s">
        <v>52</v>
      </c>
      <c r="C7" s="8"/>
      <c r="D7" s="6"/>
      <c r="E7" s="6"/>
      <c r="F7" s="6"/>
      <c r="G7" s="6"/>
    </row>
    <row r="8" spans="2:7" ht="15" outlineLevel="1" thickBot="1" x14ac:dyDescent="0.35">
      <c r="B8" s="9"/>
      <c r="C8" s="9" t="s">
        <v>46</v>
      </c>
      <c r="D8" s="3"/>
      <c r="E8" s="3"/>
      <c r="F8" s="3"/>
      <c r="G8" s="3"/>
    </row>
    <row r="9" spans="2:7" x14ac:dyDescent="0.3">
      <c r="B9" t="s">
        <v>53</v>
      </c>
    </row>
    <row r="10" spans="2:7" x14ac:dyDescent="0.3">
      <c r="B10" t="s">
        <v>54</v>
      </c>
    </row>
    <row r="11" spans="2:7" x14ac:dyDescent="0.3">
      <c r="B11" t="s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9"/>
  <sheetViews>
    <sheetView workbookViewId="0">
      <selection activeCell="A14" sqref="A14:H14"/>
    </sheetView>
  </sheetViews>
  <sheetFormatPr defaultRowHeight="14.4" x14ac:dyDescent="0.3"/>
  <cols>
    <col min="2" max="2" width="9.33203125" customWidth="1"/>
    <col min="3" max="3" width="11.21875" customWidth="1"/>
    <col min="4" max="4" width="16.21875" customWidth="1"/>
    <col min="6" max="6" width="11.88671875" customWidth="1"/>
    <col min="7" max="7" width="18.21875" customWidth="1"/>
  </cols>
  <sheetData>
    <row r="1" spans="1:16" x14ac:dyDescent="0.3">
      <c r="A1" s="1" t="s">
        <v>17</v>
      </c>
    </row>
    <row r="3" spans="1:16" x14ac:dyDescent="0.3">
      <c r="A3" t="s">
        <v>18</v>
      </c>
    </row>
    <row r="4" spans="1:16" x14ac:dyDescent="0.3">
      <c r="A4" t="s">
        <v>19</v>
      </c>
    </row>
    <row r="5" spans="1:16" x14ac:dyDescent="0.3">
      <c r="A5" t="s">
        <v>20</v>
      </c>
    </row>
    <row r="6" spans="1:16" x14ac:dyDescent="0.3">
      <c r="A6" t="s">
        <v>21</v>
      </c>
    </row>
    <row r="7" spans="1:16" x14ac:dyDescent="0.3">
      <c r="A7" t="s">
        <v>22</v>
      </c>
    </row>
    <row r="8" spans="1:16" x14ac:dyDescent="0.3">
      <c r="A8" t="s">
        <v>23</v>
      </c>
    </row>
    <row r="9" spans="1:16" x14ac:dyDescent="0.3">
      <c r="A9" t="s">
        <v>24</v>
      </c>
    </row>
    <row r="10" spans="1:16" x14ac:dyDescent="0.3">
      <c r="A10" t="s">
        <v>25</v>
      </c>
    </row>
    <row r="11" spans="1:16" x14ac:dyDescent="0.3">
      <c r="A11" t="s">
        <v>26</v>
      </c>
    </row>
    <row r="13" spans="1:16" x14ac:dyDescent="0.3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62</v>
      </c>
      <c r="G13" s="1" t="s">
        <v>61</v>
      </c>
      <c r="H13" s="1" t="s">
        <v>60</v>
      </c>
      <c r="I13" s="14" t="s">
        <v>63</v>
      </c>
      <c r="J13" s="14">
        <v>2166.6666666666665</v>
      </c>
      <c r="K13" s="14">
        <v>500</v>
      </c>
      <c r="L13" s="14">
        <v>300</v>
      </c>
      <c r="M13" s="14">
        <v>150000</v>
      </c>
      <c r="N13" s="14">
        <f t="shared" ref="N13" si="0">J13*K13</f>
        <v>1083333.3333333333</v>
      </c>
      <c r="O13" s="14">
        <f t="shared" ref="O13" si="1">J13*L13</f>
        <v>650000</v>
      </c>
      <c r="P13" s="14">
        <f t="shared" ref="P13" si="2">O13-M13</f>
        <v>500000</v>
      </c>
    </row>
    <row r="14" spans="1:16" x14ac:dyDescent="0.3">
      <c r="A14" t="s">
        <v>5</v>
      </c>
      <c r="B14">
        <v>1200</v>
      </c>
      <c r="C14">
        <v>400</v>
      </c>
      <c r="D14">
        <v>300</v>
      </c>
      <c r="E14">
        <v>150000</v>
      </c>
      <c r="F14">
        <f>B14*C14</f>
        <v>480000</v>
      </c>
      <c r="G14">
        <f>B14*D14</f>
        <v>360000</v>
      </c>
      <c r="H14">
        <f>F14-G14-E14</f>
        <v>-30000</v>
      </c>
    </row>
    <row r="15" spans="1:16" x14ac:dyDescent="0.3">
      <c r="A15" t="s">
        <v>6</v>
      </c>
      <c r="B15">
        <v>1350</v>
      </c>
      <c r="C15">
        <v>500</v>
      </c>
      <c r="D15">
        <v>300</v>
      </c>
      <c r="E15">
        <v>150000</v>
      </c>
      <c r="F15">
        <f t="shared" ref="F15:F25" si="3">B15*C15</f>
        <v>675000</v>
      </c>
      <c r="G15">
        <f t="shared" ref="G15:G25" si="4">B15*D15</f>
        <v>405000</v>
      </c>
      <c r="H15">
        <f t="shared" ref="H15:H25" si="5">F15-G15-E15</f>
        <v>120000</v>
      </c>
      <c r="I15" s="14" t="s">
        <v>64</v>
      </c>
      <c r="J15" s="14">
        <v>3000</v>
      </c>
      <c r="K15" s="14">
        <v>283.43333333333334</v>
      </c>
      <c r="L15" s="14">
        <v>300</v>
      </c>
      <c r="M15" s="14">
        <v>150000</v>
      </c>
      <c r="N15" s="14">
        <f t="shared" ref="N15" si="6">J15*K15</f>
        <v>850300</v>
      </c>
      <c r="O15" s="14">
        <f t="shared" ref="O15" si="7">J15*L15</f>
        <v>900000</v>
      </c>
      <c r="P15" s="14">
        <f>N15-L15-M15</f>
        <v>700000</v>
      </c>
    </row>
    <row r="16" spans="1:16" x14ac:dyDescent="0.3">
      <c r="A16" t="s">
        <v>7</v>
      </c>
      <c r="B16">
        <v>1400</v>
      </c>
      <c r="C16">
        <v>500</v>
      </c>
      <c r="D16">
        <v>300</v>
      </c>
      <c r="E16">
        <v>150000</v>
      </c>
      <c r="F16">
        <f t="shared" si="3"/>
        <v>700000</v>
      </c>
      <c r="G16">
        <f t="shared" si="4"/>
        <v>420000</v>
      </c>
      <c r="H16">
        <f t="shared" si="5"/>
        <v>130000</v>
      </c>
    </row>
    <row r="17" spans="1:14" x14ac:dyDescent="0.3">
      <c r="A17" t="s">
        <v>8</v>
      </c>
      <c r="B17">
        <v>1600</v>
      </c>
      <c r="C17">
        <v>500</v>
      </c>
      <c r="D17">
        <v>300</v>
      </c>
      <c r="E17">
        <v>150000</v>
      </c>
      <c r="F17">
        <f t="shared" si="3"/>
        <v>800000</v>
      </c>
      <c r="G17">
        <f t="shared" si="4"/>
        <v>480000</v>
      </c>
      <c r="H17">
        <f t="shared" si="5"/>
        <v>170000</v>
      </c>
      <c r="I17" t="s">
        <v>65</v>
      </c>
      <c r="J17" t="s">
        <v>66</v>
      </c>
      <c r="K17">
        <v>400</v>
      </c>
      <c r="L17">
        <v>500</v>
      </c>
      <c r="M17">
        <v>600</v>
      </c>
      <c r="N17">
        <v>700</v>
      </c>
    </row>
    <row r="18" spans="1:14" x14ac:dyDescent="0.3">
      <c r="A18" t="s">
        <v>9</v>
      </c>
      <c r="B18">
        <v>1800</v>
      </c>
      <c r="C18">
        <v>500</v>
      </c>
      <c r="D18">
        <v>300</v>
      </c>
      <c r="E18">
        <v>150000</v>
      </c>
      <c r="F18">
        <f t="shared" si="3"/>
        <v>900000</v>
      </c>
      <c r="G18">
        <f t="shared" si="4"/>
        <v>540000</v>
      </c>
      <c r="H18">
        <f t="shared" si="5"/>
        <v>210000</v>
      </c>
      <c r="J18">
        <f>H14</f>
        <v>-30000</v>
      </c>
      <c r="K18">
        <f t="dataTable" ref="K18:N18" dt2D="0" dtr="1" r1="C14" ca="1"/>
        <v>-30000</v>
      </c>
      <c r="L18">
        <v>90000</v>
      </c>
      <c r="M18">
        <v>210000</v>
      </c>
      <c r="N18">
        <v>330000</v>
      </c>
    </row>
    <row r="19" spans="1:14" x14ac:dyDescent="0.3">
      <c r="A19" t="s">
        <v>10</v>
      </c>
      <c r="B19">
        <v>2000</v>
      </c>
      <c r="C19">
        <v>500</v>
      </c>
      <c r="D19">
        <v>300</v>
      </c>
      <c r="E19">
        <v>150000</v>
      </c>
      <c r="F19">
        <f t="shared" si="3"/>
        <v>1000000</v>
      </c>
      <c r="G19">
        <f t="shared" si="4"/>
        <v>600000</v>
      </c>
      <c r="H19">
        <f t="shared" si="5"/>
        <v>250000</v>
      </c>
    </row>
    <row r="20" spans="1:14" x14ac:dyDescent="0.3">
      <c r="A20" t="s">
        <v>11</v>
      </c>
      <c r="B20">
        <v>2100</v>
      </c>
      <c r="C20">
        <v>500</v>
      </c>
      <c r="D20">
        <v>300</v>
      </c>
      <c r="E20">
        <v>150000</v>
      </c>
      <c r="F20">
        <f t="shared" si="3"/>
        <v>1050000</v>
      </c>
      <c r="G20">
        <f t="shared" si="4"/>
        <v>630000</v>
      </c>
      <c r="H20">
        <f t="shared" si="5"/>
        <v>270000</v>
      </c>
    </row>
    <row r="21" spans="1:14" x14ac:dyDescent="0.3">
      <c r="A21" t="s">
        <v>12</v>
      </c>
      <c r="B21">
        <v>1900</v>
      </c>
      <c r="C21">
        <v>500</v>
      </c>
      <c r="D21">
        <v>300</v>
      </c>
      <c r="E21">
        <v>150000</v>
      </c>
      <c r="F21">
        <f t="shared" si="3"/>
        <v>950000</v>
      </c>
      <c r="G21">
        <f t="shared" si="4"/>
        <v>570000</v>
      </c>
      <c r="H21">
        <f t="shared" si="5"/>
        <v>230000</v>
      </c>
      <c r="I21" t="s">
        <v>67</v>
      </c>
      <c r="J21">
        <f>H14</f>
        <v>-30000</v>
      </c>
      <c r="K21">
        <v>400</v>
      </c>
      <c r="L21">
        <v>500</v>
      </c>
      <c r="M21">
        <v>600</v>
      </c>
      <c r="N21">
        <v>700</v>
      </c>
    </row>
    <row r="22" spans="1:14" x14ac:dyDescent="0.3">
      <c r="A22" t="s">
        <v>13</v>
      </c>
      <c r="B22">
        <v>2200</v>
      </c>
      <c r="C22">
        <v>500</v>
      </c>
      <c r="D22">
        <v>300</v>
      </c>
      <c r="E22">
        <v>150000</v>
      </c>
      <c r="F22">
        <f t="shared" si="3"/>
        <v>1100000</v>
      </c>
      <c r="G22">
        <f t="shared" si="4"/>
        <v>660000</v>
      </c>
      <c r="H22">
        <f t="shared" si="5"/>
        <v>290000</v>
      </c>
      <c r="J22">
        <v>1500</v>
      </c>
      <c r="K22">
        <f t="dataTable" ref="K22:N26" dt2D="1" dtr="1" r1="B14" r2="C14"/>
        <v>330000</v>
      </c>
      <c r="L22">
        <v>450000</v>
      </c>
      <c r="M22">
        <v>570000</v>
      </c>
      <c r="N22">
        <v>690000</v>
      </c>
    </row>
    <row r="23" spans="1:14" x14ac:dyDescent="0.3">
      <c r="A23" t="s">
        <v>14</v>
      </c>
      <c r="B23">
        <v>2400</v>
      </c>
      <c r="C23">
        <v>500</v>
      </c>
      <c r="D23">
        <v>300</v>
      </c>
      <c r="E23">
        <v>150000</v>
      </c>
      <c r="F23">
        <f t="shared" si="3"/>
        <v>1200000</v>
      </c>
      <c r="G23">
        <f t="shared" si="4"/>
        <v>720000</v>
      </c>
      <c r="H23">
        <f t="shared" si="5"/>
        <v>330000</v>
      </c>
      <c r="J23">
        <v>2000</v>
      </c>
      <c r="K23">
        <v>530000</v>
      </c>
      <c r="L23">
        <v>700000</v>
      </c>
      <c r="M23">
        <v>870000</v>
      </c>
      <c r="N23">
        <v>1040000</v>
      </c>
    </row>
    <row r="24" spans="1:14" x14ac:dyDescent="0.3">
      <c r="A24" t="s">
        <v>15</v>
      </c>
      <c r="B24">
        <v>2600</v>
      </c>
      <c r="C24">
        <v>500</v>
      </c>
      <c r="D24">
        <v>300</v>
      </c>
      <c r="E24">
        <v>150000</v>
      </c>
      <c r="F24">
        <f t="shared" si="3"/>
        <v>1300000</v>
      </c>
      <c r="G24">
        <f t="shared" si="4"/>
        <v>780000</v>
      </c>
      <c r="H24">
        <f t="shared" si="5"/>
        <v>370000</v>
      </c>
      <c r="J24">
        <v>2500</v>
      </c>
      <c r="K24">
        <v>730000</v>
      </c>
      <c r="L24">
        <v>950000</v>
      </c>
      <c r="M24">
        <v>1170000</v>
      </c>
      <c r="N24">
        <v>1390000</v>
      </c>
    </row>
    <row r="25" spans="1:14" x14ac:dyDescent="0.3">
      <c r="A25" t="s">
        <v>16</v>
      </c>
      <c r="B25">
        <v>3000</v>
      </c>
      <c r="C25">
        <v>500</v>
      </c>
      <c r="D25">
        <v>300</v>
      </c>
      <c r="E25">
        <v>150000</v>
      </c>
      <c r="F25">
        <f t="shared" si="3"/>
        <v>1500000</v>
      </c>
      <c r="G25">
        <f t="shared" si="4"/>
        <v>900000</v>
      </c>
      <c r="H25">
        <f t="shared" si="5"/>
        <v>450000</v>
      </c>
      <c r="J25">
        <v>3000</v>
      </c>
      <c r="K25">
        <v>930000</v>
      </c>
      <c r="L25">
        <v>1200000</v>
      </c>
      <c r="M25">
        <v>1470000</v>
      </c>
      <c r="N25">
        <v>1740000</v>
      </c>
    </row>
    <row r="26" spans="1:14" x14ac:dyDescent="0.3">
      <c r="J26">
        <v>3500</v>
      </c>
      <c r="K26">
        <v>1130000</v>
      </c>
      <c r="L26">
        <v>1450000</v>
      </c>
      <c r="M26">
        <v>1770000</v>
      </c>
      <c r="N26">
        <v>2090000</v>
      </c>
    </row>
    <row r="29" spans="1:14" x14ac:dyDescent="0.3">
      <c r="C29" t="s">
        <v>68</v>
      </c>
    </row>
  </sheetData>
  <scenarios current="2" show="2" sqref="B1">
    <scenario name="Best Case" locked="1" count="1" user="Vishnu K.Unni" comment="Created by Vishnu K.Unni on 26-07-2026_x000a_Modified by Vishnu K.Unni on 26-07-2026">
      <inputCells r="C14" val="700"/>
    </scenario>
    <scenario name="Expected Case" locked="1" count="1" user="Vishnu K.Unni" comment="Created by Vishnu K.Unni on 26-07-2026_x000a_Modified by Vishnu K.Unni on 26-07-2026">
      <inputCells r="C14" val="600"/>
    </scenario>
    <scenario name="Worst Case" locked="1" count="1" user="Vishnu K.Unni" comment="Created by Vishnu K.Unni on 26-07-2026_x000a_Modified by Vishnu K.Unni on 26-07-2026">
      <inputCells r="C14" val="400"/>
    </scenario>
  </scenario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5"/>
  <sheetViews>
    <sheetView topLeftCell="A3" workbookViewId="0"/>
  </sheetViews>
  <sheetFormatPr defaultRowHeight="14.4" x14ac:dyDescent="0.3"/>
  <sheetData>
    <row r="1" spans="1:1" x14ac:dyDescent="0.3">
      <c r="A1" s="1" t="s">
        <v>27</v>
      </c>
    </row>
    <row r="3" spans="1:1" x14ac:dyDescent="0.3">
      <c r="A3" t="s">
        <v>28</v>
      </c>
    </row>
    <row r="4" spans="1:1" x14ac:dyDescent="0.3">
      <c r="A4" t="s">
        <v>29</v>
      </c>
    </row>
    <row r="5" spans="1:1" x14ac:dyDescent="0.3">
      <c r="A5" t="s">
        <v>30</v>
      </c>
    </row>
    <row r="7" spans="1:1" x14ac:dyDescent="0.3">
      <c r="A7" t="s">
        <v>31</v>
      </c>
    </row>
    <row r="8" spans="1:1" x14ac:dyDescent="0.3">
      <c r="A8" t="s">
        <v>32</v>
      </c>
    </row>
    <row r="9" spans="1:1" x14ac:dyDescent="0.3">
      <c r="A9" t="s">
        <v>33</v>
      </c>
    </row>
    <row r="11" spans="1:1" x14ac:dyDescent="0.3">
      <c r="A11" t="s">
        <v>34</v>
      </c>
    </row>
    <row r="12" spans="1:1" x14ac:dyDescent="0.3">
      <c r="A12" t="s">
        <v>35</v>
      </c>
    </row>
    <row r="14" spans="1:1" x14ac:dyDescent="0.3">
      <c r="A14" t="s">
        <v>36</v>
      </c>
    </row>
    <row r="15" spans="1:1" x14ac:dyDescent="0.3">
      <c r="A15" t="s">
        <v>37</v>
      </c>
    </row>
    <row r="16" spans="1:1" x14ac:dyDescent="0.3">
      <c r="A16" t="s">
        <v>38</v>
      </c>
    </row>
    <row r="17" spans="1:1" x14ac:dyDescent="0.3">
      <c r="A17" t="s">
        <v>39</v>
      </c>
    </row>
    <row r="19" spans="1:1" x14ac:dyDescent="0.3">
      <c r="A19" t="s">
        <v>40</v>
      </c>
    </row>
    <row r="20" spans="1:1" x14ac:dyDescent="0.3">
      <c r="A20" t="s">
        <v>41</v>
      </c>
    </row>
    <row r="22" spans="1:1" x14ac:dyDescent="0.3">
      <c r="A22" t="s">
        <v>42</v>
      </c>
    </row>
    <row r="23" spans="1:1" x14ac:dyDescent="0.3">
      <c r="A23" t="s">
        <v>43</v>
      </c>
    </row>
    <row r="24" spans="1:1" x14ac:dyDescent="0.3">
      <c r="A24" t="s">
        <v>44</v>
      </c>
    </row>
    <row r="25" spans="1:1" x14ac:dyDescent="0.3">
      <c r="A25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Sales_Data</vt:lpstr>
      <vt:lpstr>Scenario Summary</vt:lpstr>
      <vt:lpstr>Scenario Summary 2</vt:lpstr>
      <vt:lpstr>Scenario Summary 3</vt:lpstr>
      <vt:lpstr>Scenario Summary 4</vt:lpstr>
      <vt:lpstr>Scenario Summary 5</vt:lpstr>
      <vt:lpstr>Scenario Summary 6</vt:lpstr>
      <vt:lpstr>Tasks</vt:lpstr>
      <vt:lpstr>Answers_and_Steps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Vishnu K.Unni</cp:lastModifiedBy>
  <dcterms:created xsi:type="dcterms:W3CDTF">2026-06-23T12:00:37Z</dcterms:created>
  <dcterms:modified xsi:type="dcterms:W3CDTF">2026-07-28T02:54:13Z</dcterms:modified>
</cp:coreProperties>
</file>