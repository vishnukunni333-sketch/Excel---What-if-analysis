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13_ncr:1_{CC3FA680-1AAE-4ADD-86B0-B665F9E362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sinessData" sheetId="1" r:id="rId1"/>
    <sheet name="Data Table (dataset 1)" sheetId="3" r:id="rId2"/>
    <sheet name="Data Table (dataset 2)" sheetId="5" r:id="rId3"/>
    <sheet name="Goal Seek" sheetId="4" r:id="rId4"/>
    <sheet name="Scenario Manager 1" sheetId="6" r:id="rId5"/>
    <sheet name="Scenario Summary 1" sheetId="7" r:id="rId6"/>
    <sheet name="Scenario Manager 2" sheetId="9" r:id="rId7"/>
    <sheet name="Scenario Summary 2" sheetId="1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/>
  <c r="E2" i="6"/>
  <c r="D36" i="4"/>
  <c r="D33" i="4"/>
  <c r="C30" i="4"/>
  <c r="D26" i="4"/>
  <c r="D23" i="4"/>
  <c r="D20" i="4"/>
  <c r="C16" i="4"/>
  <c r="D12" i="4"/>
  <c r="D9" i="4"/>
  <c r="D6" i="4"/>
  <c r="C2" i="4"/>
  <c r="C2" i="5"/>
  <c r="D4" i="5" s="1"/>
  <c r="D2" i="3"/>
  <c r="E5" i="3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Q35" i="1"/>
  <c r="Q34" i="1"/>
  <c r="Q33" i="1"/>
  <c r="Q32" i="1"/>
  <c r="Q10" i="1"/>
  <c r="Q11" i="1"/>
  <c r="Q9" i="1"/>
  <c r="Q8" i="1"/>
  <c r="Q7" i="1"/>
  <c r="Q6" i="1"/>
  <c r="Q5" i="1"/>
  <c r="Q4" i="1"/>
  <c r="Q3" i="1"/>
  <c r="Q2" i="1"/>
  <c r="C18" i="5" l="1"/>
  <c r="D11" i="5"/>
  <c r="D19" i="3"/>
  <c r="E12" i="3"/>
</calcChain>
</file>

<file path=xl/sharedStrings.xml><?xml version="1.0" encoding="utf-8"?>
<sst xmlns="http://schemas.openxmlformats.org/spreadsheetml/2006/main" count="263" uniqueCount="119">
  <si>
    <t>Order_ID</t>
  </si>
  <si>
    <t>Customer_Type</t>
  </si>
  <si>
    <t>Region</t>
  </si>
  <si>
    <t>Product_Category</t>
  </si>
  <si>
    <t>Order_Amount</t>
  </si>
  <si>
    <t>Discount_Percent</t>
  </si>
  <si>
    <t>Payment_Mode</t>
  </si>
  <si>
    <t>Delivery_Days</t>
  </si>
  <si>
    <t>Returned</t>
  </si>
  <si>
    <t>Customer_Rating</t>
  </si>
  <si>
    <t>New</t>
  </si>
  <si>
    <t>South</t>
  </si>
  <si>
    <t>Electronics</t>
  </si>
  <si>
    <t>UPI</t>
  </si>
  <si>
    <t>No</t>
  </si>
  <si>
    <t>Existing</t>
  </si>
  <si>
    <t>North</t>
  </si>
  <si>
    <t>Clothing</t>
  </si>
  <si>
    <t>Cash</t>
  </si>
  <si>
    <t>Yes</t>
  </si>
  <si>
    <t>VIP</t>
  </si>
  <si>
    <t>West</t>
  </si>
  <si>
    <t>Furniture</t>
  </si>
  <si>
    <t>Card</t>
  </si>
  <si>
    <t>East</t>
  </si>
  <si>
    <t>Groceries</t>
  </si>
  <si>
    <t>Excel Practice Questions</t>
  </si>
  <si>
    <r>
      <t>1.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</si>
  <si>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2.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Delivery Days</t>
    </r>
    <r>
      <rPr>
        <sz val="12"/>
        <color theme="1"/>
        <rFont val="Times New Roman"/>
        <family val="1"/>
      </rPr>
      <t>.</t>
    </r>
  </si>
  <si>
    <r>
      <t>3.</t>
    </r>
    <r>
      <rPr>
        <sz val="12"/>
        <color theme="1"/>
        <rFont val="Times New Roman"/>
        <family val="1"/>
      </rPr>
      <t xml:space="preserve"> Calculate the product of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Discount Percent</t>
    </r>
    <r>
      <rPr>
        <sz val="12"/>
        <color theme="1"/>
        <rFont val="Times New Roman"/>
        <family val="1"/>
      </rPr>
      <t xml:space="preserve"> for the first order.</t>
    </r>
  </si>
  <si>
    <r>
      <t>4.</t>
    </r>
    <r>
      <rPr>
        <sz val="12"/>
        <color theme="1"/>
        <rFont val="Times New Roman"/>
        <family val="1"/>
      </rPr>
      <t xml:space="preserve"> Calculate the product of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Delivery Days</t>
    </r>
    <r>
      <rPr>
        <sz val="12"/>
        <color theme="1"/>
        <rFont val="Times New Roman"/>
        <family val="1"/>
      </rPr>
      <t xml:space="preserve"> for the first order.</t>
    </r>
  </si>
  <si>
    <r>
      <t>5.</t>
    </r>
    <r>
      <rPr>
        <sz val="12"/>
        <color theme="1"/>
        <rFont val="Times New Roman"/>
        <family val="1"/>
      </rPr>
      <t xml:space="preserve"> Find the minimum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</si>
  <si>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6.</t>
    </r>
    <r>
      <rPr>
        <sz val="12"/>
        <color theme="1"/>
        <rFont val="Times New Roman"/>
        <family val="1"/>
      </rPr>
      <t xml:space="preserve"> Find the minimum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>.</t>
    </r>
  </si>
  <si>
    <r>
      <t>7.</t>
    </r>
    <r>
      <rPr>
        <sz val="12"/>
        <color theme="1"/>
        <rFont val="Times New Roman"/>
        <family val="1"/>
      </rPr>
      <t xml:space="preserve"> Find the maximum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</si>
  <si>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8.</t>
    </r>
    <r>
      <rPr>
        <sz val="12"/>
        <color theme="1"/>
        <rFont val="Times New Roman"/>
        <family val="1"/>
      </rPr>
      <t xml:space="preserve"> Find the maximum </t>
    </r>
    <r>
      <rPr>
        <b/>
        <sz val="12"/>
        <color theme="1"/>
        <rFont val="Times New Roman"/>
        <family val="1"/>
      </rPr>
      <t>Delivery Days</t>
    </r>
    <r>
      <rPr>
        <sz val="12"/>
        <color theme="1"/>
        <rFont val="Times New Roman"/>
        <family val="1"/>
      </rPr>
      <t>.</t>
    </r>
  </si>
  <si>
    <r>
      <t>9.</t>
    </r>
    <r>
      <rPr>
        <sz val="12"/>
        <color theme="1"/>
        <rFont val="Times New Roman"/>
        <family val="1"/>
      </rPr>
      <t xml:space="preserve"> Find the average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</si>
  <si>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10.</t>
    </r>
    <r>
      <rPr>
        <sz val="12"/>
        <color theme="1"/>
        <rFont val="Times New Roman"/>
        <family val="1"/>
      </rPr>
      <t xml:space="preserve"> Find the average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>.</t>
    </r>
  </si>
  <si>
    <r>
      <t>11.</t>
    </r>
    <r>
      <rPr>
        <sz val="12"/>
        <color theme="1"/>
        <rFont val="Times New Roman"/>
        <family val="1"/>
      </rPr>
      <t xml:space="preserve"> Count the total number of </t>
    </r>
    <r>
      <rPr>
        <b/>
        <sz val="12"/>
        <color theme="1"/>
        <rFont val="Times New Roman"/>
        <family val="1"/>
      </rPr>
      <t>Customer Types</t>
    </r>
    <r>
      <rPr>
        <sz val="12"/>
        <color theme="1"/>
        <rFont val="Times New Roman"/>
        <family val="1"/>
      </rPr>
      <t>.</t>
    </r>
  </si>
  <si>
    <r>
      <t>12.</t>
    </r>
    <r>
      <rPr>
        <sz val="12"/>
        <color theme="1"/>
        <rFont val="Times New Roman"/>
        <family val="1"/>
      </rPr>
      <t xml:space="preserve"> Count the total number of </t>
    </r>
    <r>
      <rPr>
        <b/>
        <sz val="12"/>
        <color theme="1"/>
        <rFont val="Times New Roman"/>
        <family val="1"/>
      </rPr>
      <t>Payment Modes</t>
    </r>
    <r>
      <rPr>
        <sz val="12"/>
        <color theme="1"/>
        <rFont val="Times New Roman"/>
        <family val="1"/>
      </rPr>
      <t>.</t>
    </r>
  </si>
  <si>
    <r>
      <t>13.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for the </t>
    </r>
    <r>
      <rPr>
        <b/>
        <sz val="12"/>
        <color theme="1"/>
        <rFont val="Times New Roman"/>
        <family val="1"/>
      </rPr>
      <t>Electronics</t>
    </r>
    <r>
      <rPr>
        <sz val="12"/>
        <color theme="1"/>
        <rFont val="Times New Roman"/>
        <family val="1"/>
      </rPr>
      <t xml:space="preserve"> category.</t>
    </r>
  </si>
  <si>
    <r>
      <t>14.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for the </t>
    </r>
    <r>
      <rPr>
        <b/>
        <sz val="12"/>
        <color theme="1"/>
        <rFont val="Times New Roman"/>
        <family val="1"/>
      </rPr>
      <t>South</t>
    </r>
    <r>
      <rPr>
        <sz val="12"/>
        <color theme="1"/>
        <rFont val="Times New Roman"/>
        <family val="1"/>
      </rPr>
      <t xml:space="preserve"> region.</t>
    </r>
  </si>
  <si>
    <r>
      <t>15.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Discount Percent</t>
    </r>
    <r>
      <rPr>
        <sz val="12"/>
        <color theme="1"/>
        <rFont val="Times New Roman"/>
        <family val="1"/>
      </rPr>
      <t xml:space="preserve"> for customers who paid using </t>
    </r>
    <r>
      <rPr>
        <b/>
        <sz val="12"/>
        <color theme="1"/>
        <rFont val="Times New Roman"/>
        <family val="1"/>
      </rPr>
      <t>UPI</t>
    </r>
    <r>
      <rPr>
        <sz val="12"/>
        <color theme="1"/>
        <rFont val="Times New Roman"/>
        <family val="1"/>
      </rPr>
      <t>.</t>
    </r>
  </si>
  <si>
    <r>
      <t>16.</t>
    </r>
    <r>
      <rPr>
        <sz val="12"/>
        <color theme="1"/>
        <rFont val="Times New Roman"/>
        <family val="1"/>
      </rPr>
      <t xml:space="preserve"> Count the number of </t>
    </r>
    <r>
      <rPr>
        <b/>
        <sz val="12"/>
        <color theme="1"/>
        <rFont val="Times New Roman"/>
        <family val="1"/>
      </rPr>
      <t>VIP</t>
    </r>
    <r>
      <rPr>
        <sz val="12"/>
        <color theme="1"/>
        <rFont val="Times New Roman"/>
        <family val="1"/>
      </rPr>
      <t xml:space="preserve"> customers.</t>
    </r>
  </si>
  <si>
    <r>
      <t>17.</t>
    </r>
    <r>
      <rPr>
        <sz val="12"/>
        <color theme="1"/>
        <rFont val="Times New Roman"/>
        <family val="1"/>
      </rPr>
      <t xml:space="preserve"> Count the number of orders where </t>
    </r>
    <r>
      <rPr>
        <b/>
        <sz val="12"/>
        <color theme="1"/>
        <rFont val="Times New Roman"/>
        <family val="1"/>
      </rPr>
      <t>Returned = Yes</t>
    </r>
    <r>
      <rPr>
        <sz val="12"/>
        <color theme="1"/>
        <rFont val="Times New Roman"/>
        <family val="1"/>
      </rPr>
      <t>.</t>
    </r>
  </si>
  <si>
    <r>
      <t>18.</t>
    </r>
    <r>
      <rPr>
        <sz val="12"/>
        <color theme="1"/>
        <rFont val="Times New Roman"/>
        <family val="1"/>
      </rPr>
      <t xml:space="preserve"> Count the number of orders in the </t>
    </r>
    <r>
      <rPr>
        <b/>
        <sz val="12"/>
        <color theme="1"/>
        <rFont val="Times New Roman"/>
        <family val="1"/>
      </rPr>
      <t>Furniture</t>
    </r>
    <r>
      <rPr>
        <sz val="12"/>
        <color theme="1"/>
        <rFont val="Times New Roman"/>
        <family val="1"/>
      </rPr>
      <t xml:space="preserve"> category.</t>
    </r>
  </si>
  <si>
    <r>
      <t>19.</t>
    </r>
    <r>
      <rPr>
        <sz val="12"/>
        <color theme="1"/>
        <rFont val="Times New Roman"/>
        <family val="1"/>
      </rPr>
      <t xml:space="preserve"> Create a new column called </t>
    </r>
    <r>
      <rPr>
        <b/>
        <sz val="12"/>
        <color theme="1"/>
        <rFont val="Times New Roman"/>
        <family val="1"/>
      </rPr>
      <t>Order Status</t>
    </r>
    <r>
      <rPr>
        <sz val="12"/>
        <color theme="1"/>
        <rFont val="Times New Roman"/>
        <family val="1"/>
      </rPr>
      <t>:</t>
    </r>
  </si>
  <si>
    <r>
      <t xml:space="preserve">If </t>
    </r>
    <r>
      <rPr>
        <b/>
        <sz val="12"/>
        <color theme="1"/>
        <rFont val="Times New Roman"/>
        <family val="1"/>
      </rPr>
      <t>Order Amount &gt; ₹10,000</t>
    </r>
    <r>
      <rPr>
        <sz val="12"/>
        <color theme="1"/>
        <rFont val="Times New Roman"/>
        <family val="1"/>
      </rPr>
      <t xml:space="preserve">, display </t>
    </r>
    <r>
      <rPr>
        <b/>
        <sz val="12"/>
        <color theme="1"/>
        <rFont val="Times New Roman"/>
        <family val="1"/>
      </rPr>
      <t>“High Value”</t>
    </r>
    <r>
      <rPr>
        <sz val="12"/>
        <color theme="1"/>
        <rFont val="Times New Roman"/>
        <family val="1"/>
      </rPr>
      <t xml:space="preserve">; otherwise display </t>
    </r>
    <r>
      <rPr>
        <b/>
        <sz val="12"/>
        <color theme="1"/>
        <rFont val="Times New Roman"/>
        <family val="1"/>
      </rPr>
      <t>“Normal”</t>
    </r>
    <r>
      <rPr>
        <sz val="12"/>
        <color theme="1"/>
        <rFont val="Times New Roman"/>
        <family val="1"/>
      </rPr>
      <t>.</t>
    </r>
  </si>
  <si>
    <r>
      <t>20.</t>
    </r>
    <r>
      <rPr>
        <sz val="12"/>
        <color theme="1"/>
        <rFont val="Times New Roman"/>
        <family val="1"/>
      </rPr>
      <t xml:space="preserve"> Create a new column called </t>
    </r>
    <r>
      <rPr>
        <b/>
        <sz val="12"/>
        <color theme="1"/>
        <rFont val="Times New Roman"/>
        <family val="1"/>
      </rPr>
      <t>Priority Delivery</t>
    </r>
    <r>
      <rPr>
        <sz val="12"/>
        <color theme="1"/>
        <rFont val="Times New Roman"/>
        <family val="1"/>
      </rPr>
      <t>:</t>
    </r>
  </si>
  <si>
    <r>
      <t xml:space="preserve">If </t>
    </r>
    <r>
      <rPr>
        <b/>
        <sz val="12"/>
        <color theme="1"/>
        <rFont val="Times New Roman"/>
        <family val="1"/>
      </rPr>
      <t>Customer Type = VIP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Delivery Days ≤ 5</t>
    </r>
    <r>
      <rPr>
        <sz val="12"/>
        <color theme="1"/>
        <rFont val="Times New Roman"/>
        <family val="1"/>
      </rPr>
      <t xml:space="preserve">, display </t>
    </r>
    <r>
      <rPr>
        <b/>
        <sz val="12"/>
        <color theme="1"/>
        <rFont val="Times New Roman"/>
        <family val="1"/>
      </rPr>
      <t>“Priority”</t>
    </r>
    <r>
      <rPr>
        <sz val="12"/>
        <color theme="1"/>
        <rFont val="Times New Roman"/>
        <family val="1"/>
      </rPr>
      <t xml:space="preserve">; otherwise display </t>
    </r>
    <r>
      <rPr>
        <b/>
        <sz val="12"/>
        <color theme="1"/>
        <rFont val="Times New Roman"/>
        <family val="1"/>
      </rPr>
      <t>“Standard”</t>
    </r>
    <r>
      <rPr>
        <sz val="12"/>
        <color theme="1"/>
        <rFont val="Times New Roman"/>
        <family val="1"/>
      </rPr>
      <t>.</t>
    </r>
  </si>
  <si>
    <r>
      <t>21.</t>
    </r>
    <r>
      <rPr>
        <sz val="12"/>
        <color theme="1"/>
        <rFont val="Times New Roman"/>
        <family val="1"/>
      </rPr>
      <t xml:space="preserve"> Create a new column called </t>
    </r>
    <r>
      <rPr>
        <b/>
        <sz val="12"/>
        <color theme="1"/>
        <rFont val="Times New Roman"/>
        <family val="1"/>
      </rPr>
      <t>Special Attention</t>
    </r>
    <r>
      <rPr>
        <sz val="12"/>
        <color theme="1"/>
        <rFont val="Times New Roman"/>
        <family val="1"/>
      </rPr>
      <t>:</t>
    </r>
  </si>
  <si>
    <r>
      <t xml:space="preserve">If </t>
    </r>
    <r>
      <rPr>
        <b/>
        <sz val="12"/>
        <color theme="1"/>
        <rFont val="Times New Roman"/>
        <family val="1"/>
      </rPr>
      <t>Returned = Yes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Customer Rating &lt; 4</t>
    </r>
    <r>
      <rPr>
        <sz val="12"/>
        <color theme="1"/>
        <rFont val="Times New Roman"/>
        <family val="1"/>
      </rPr>
      <t xml:space="preserve">, display </t>
    </r>
    <r>
      <rPr>
        <b/>
        <sz val="12"/>
        <color theme="1"/>
        <rFont val="Times New Roman"/>
        <family val="1"/>
      </rPr>
      <t>“Review Required”</t>
    </r>
    <r>
      <rPr>
        <sz val="12"/>
        <color theme="1"/>
        <rFont val="Times New Roman"/>
        <family val="1"/>
      </rPr>
      <t xml:space="preserve">; otherwise display </t>
    </r>
    <r>
      <rPr>
        <b/>
        <sz val="12"/>
        <color theme="1"/>
        <rFont val="Times New Roman"/>
        <family val="1"/>
      </rPr>
      <t>“No Review”</t>
    </r>
    <r>
      <rPr>
        <sz val="12"/>
        <color theme="1"/>
        <rFont val="Times New Roman"/>
        <family val="1"/>
      </rPr>
      <t>.</t>
    </r>
  </si>
  <si>
    <r>
      <t>22.</t>
    </r>
    <r>
      <rPr>
        <sz val="12"/>
        <color theme="1"/>
        <rFont val="Times New Roman"/>
        <family val="1"/>
      </rPr>
      <t xml:space="preserve"> Highlight </t>
    </r>
    <r>
      <rPr>
        <b/>
        <sz val="12"/>
        <color theme="1"/>
        <rFont val="Times New Roman"/>
        <family val="1"/>
      </rPr>
      <t>Order Amounts greater than ₹20,000</t>
    </r>
    <r>
      <rPr>
        <sz val="12"/>
        <color theme="1"/>
        <rFont val="Times New Roman"/>
        <family val="1"/>
      </rPr>
      <t>.</t>
    </r>
  </si>
  <si>
    <r>
      <t>23.</t>
    </r>
    <r>
      <rPr>
        <sz val="12"/>
        <color theme="1"/>
        <rFont val="Times New Roman"/>
        <family val="1"/>
      </rPr>
      <t xml:space="preserve"> Highlight </t>
    </r>
    <r>
      <rPr>
        <b/>
        <sz val="12"/>
        <color theme="1"/>
        <rFont val="Times New Roman"/>
        <family val="1"/>
      </rPr>
      <t>Customer Ratings below 4</t>
    </r>
    <r>
      <rPr>
        <sz val="12"/>
        <color theme="1"/>
        <rFont val="Times New Roman"/>
        <family val="1"/>
      </rPr>
      <t>.</t>
    </r>
  </si>
  <si>
    <r>
      <t>24.</t>
    </r>
    <r>
      <rPr>
        <sz val="12"/>
        <color theme="1"/>
        <rFont val="Times New Roman"/>
        <family val="1"/>
      </rPr>
      <t xml:space="preserve"> Highlight all orders where </t>
    </r>
    <r>
      <rPr>
        <b/>
        <sz val="12"/>
        <color theme="1"/>
        <rFont val="Times New Roman"/>
        <family val="1"/>
      </rPr>
      <t>Returned = Yes</t>
    </r>
    <r>
      <rPr>
        <sz val="12"/>
        <color theme="1"/>
        <rFont val="Times New Roman"/>
        <family val="1"/>
      </rPr>
      <t>.</t>
    </r>
  </si>
  <si>
    <r>
      <t>25.</t>
    </r>
    <r>
      <rPr>
        <sz val="12"/>
        <color theme="1"/>
        <rFont val="Times New Roman"/>
        <family val="1"/>
      </rPr>
      <t xml:space="preserve"> Highlight </t>
    </r>
    <r>
      <rPr>
        <b/>
        <sz val="12"/>
        <color theme="1"/>
        <rFont val="Times New Roman"/>
        <family val="1"/>
      </rPr>
      <t>Delivery Days greater than 7</t>
    </r>
    <r>
      <rPr>
        <sz val="12"/>
        <color theme="1"/>
        <rFont val="Times New Roman"/>
        <family val="1"/>
      </rPr>
      <t>.</t>
    </r>
  </si>
  <si>
    <r>
      <t>26.</t>
    </r>
    <r>
      <rPr>
        <sz val="12"/>
        <color theme="1"/>
        <rFont val="Times New Roman"/>
        <family val="1"/>
      </rPr>
      <t xml:space="preserve"> Highlight duplicate values in the </t>
    </r>
    <r>
      <rPr>
        <b/>
        <sz val="12"/>
        <color theme="1"/>
        <rFont val="Times New Roman"/>
        <family val="1"/>
      </rPr>
      <t>Payment Mode</t>
    </r>
    <r>
      <rPr>
        <sz val="12"/>
        <color theme="1"/>
        <rFont val="Times New Roman"/>
        <family val="1"/>
      </rPr>
      <t xml:space="preserve"> column.</t>
    </r>
  </si>
  <si>
    <r>
      <t>27.</t>
    </r>
    <r>
      <rPr>
        <sz val="12"/>
        <color theme="1"/>
        <rFont val="Times New Roman"/>
        <family val="1"/>
      </rPr>
      <t xml:space="preserve"> Apply </t>
    </r>
    <r>
      <rPr>
        <b/>
        <sz val="12"/>
        <color theme="1"/>
        <rFont val="Times New Roman"/>
        <family val="1"/>
      </rPr>
      <t>Data Bars</t>
    </r>
    <r>
      <rPr>
        <sz val="12"/>
        <color theme="1"/>
        <rFont val="Times New Roman"/>
        <family val="1"/>
      </rPr>
      <t xml:space="preserve"> to the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column.</t>
    </r>
  </si>
  <si>
    <r>
      <t>28.</t>
    </r>
    <r>
      <rPr>
        <sz val="12"/>
        <color theme="1"/>
        <rFont val="Times New Roman"/>
        <family val="1"/>
      </rPr>
      <t xml:space="preserve"> Apply a </t>
    </r>
    <r>
      <rPr>
        <b/>
        <sz val="12"/>
        <color theme="1"/>
        <rFont val="Times New Roman"/>
        <family val="1"/>
      </rPr>
      <t>3-Color Scale</t>
    </r>
    <r>
      <rPr>
        <sz val="12"/>
        <color theme="1"/>
        <rFont val="Times New Roman"/>
        <family val="1"/>
      </rPr>
      <t xml:space="preserve"> to the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 xml:space="preserve"> column.</t>
    </r>
  </si>
  <si>
    <r>
      <t>29.</t>
    </r>
    <r>
      <rPr>
        <sz val="12"/>
        <color theme="1"/>
        <rFont val="Times New Roman"/>
        <family val="1"/>
      </rPr>
      <t xml:space="preserve"> Highlight all </t>
    </r>
    <r>
      <rPr>
        <b/>
        <sz val="12"/>
        <color theme="1"/>
        <rFont val="Times New Roman"/>
        <family val="1"/>
      </rPr>
      <t>VIP</t>
    </r>
    <r>
      <rPr>
        <sz val="12"/>
        <color theme="1"/>
        <rFont val="Times New Roman"/>
        <family val="1"/>
      </rPr>
      <t xml:space="preserve"> customers.</t>
    </r>
  </si>
  <si>
    <r>
      <t>30.</t>
    </r>
    <r>
      <rPr>
        <sz val="12"/>
        <color theme="1"/>
        <rFont val="Times New Roman"/>
        <family val="1"/>
      </rPr>
      <t xml:space="preserve"> Highlight all orders where the </t>
    </r>
    <r>
      <rPr>
        <b/>
        <sz val="12"/>
        <color theme="1"/>
        <rFont val="Times New Roman"/>
        <family val="1"/>
      </rPr>
      <t>Discount Percent is greater than or equal to 20%</t>
    </r>
    <r>
      <rPr>
        <sz val="12"/>
        <color theme="1"/>
        <rFont val="Times New Roman"/>
        <family val="1"/>
      </rPr>
      <t>.</t>
    </r>
  </si>
  <si>
    <r>
      <t>31.</t>
    </r>
    <r>
      <rPr>
        <sz val="12"/>
        <color theme="1"/>
        <rFont val="Times New Roman"/>
        <family val="1"/>
      </rPr>
      <t xml:space="preserve"> Highlight all </t>
    </r>
    <r>
      <rPr>
        <b/>
        <sz val="12"/>
        <color theme="1"/>
        <rFont val="Times New Roman"/>
        <family val="1"/>
      </rPr>
      <t>Electronics</t>
    </r>
    <r>
      <rPr>
        <sz val="12"/>
        <color theme="1"/>
        <rFont val="Times New Roman"/>
        <family val="1"/>
      </rPr>
      <t xml:space="preserve"> orders using a different cell color.</t>
    </r>
  </si>
  <si>
    <t>Row Labels</t>
  </si>
  <si>
    <t>Grand Total</t>
  </si>
  <si>
    <t>Count of Order_ID</t>
  </si>
  <si>
    <t>Sum of Order_Amount</t>
  </si>
  <si>
    <t>Order status</t>
  </si>
  <si>
    <t>Special Attention</t>
  </si>
  <si>
    <t>Priority Delivery</t>
  </si>
  <si>
    <t>Customer_Rating2</t>
  </si>
  <si>
    <t>Loan Amount</t>
  </si>
  <si>
    <t xml:space="preserve"> Interest Rate </t>
  </si>
  <si>
    <t xml:space="preserve">Loan Period (Years) </t>
  </si>
  <si>
    <t xml:space="preserve">Monthly EMI </t>
  </si>
  <si>
    <t xml:space="preserve">Target Savings  </t>
  </si>
  <si>
    <t xml:space="preserve">Monthly Savings </t>
  </si>
  <si>
    <t>Months</t>
  </si>
  <si>
    <t>interest rate</t>
  </si>
  <si>
    <t>Loan Period</t>
  </si>
  <si>
    <t>loan amount</t>
  </si>
  <si>
    <t>Units Consumed</t>
  </si>
  <si>
    <t>Rate per Unit</t>
  </si>
  <si>
    <t>Total Bill</t>
  </si>
  <si>
    <t>rate per unit</t>
  </si>
  <si>
    <t>units consumed</t>
  </si>
  <si>
    <t>Total Marks</t>
  </si>
  <si>
    <t>Marks Obtained</t>
  </si>
  <si>
    <t>Percentage</t>
  </si>
  <si>
    <t>Weight (kg)</t>
  </si>
  <si>
    <t>Height (m)</t>
  </si>
  <si>
    <t>BMI</t>
  </si>
  <si>
    <t>Rent</t>
  </si>
  <si>
    <t>Food</t>
  </si>
  <si>
    <t>Transport</t>
  </si>
  <si>
    <t>Entertainment</t>
  </si>
  <si>
    <t>Total</t>
  </si>
  <si>
    <t>$A$2</t>
  </si>
  <si>
    <t>$B$2</t>
  </si>
  <si>
    <t>$C$2</t>
  </si>
  <si>
    <t>$D$2</t>
  </si>
  <si>
    <t>$E$2</t>
  </si>
  <si>
    <t>Best Case</t>
  </si>
  <si>
    <t>Created by Vishnu K.Unni on 05-08-2026</t>
  </si>
  <si>
    <t>Expected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</si>
  <si>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</si>
  <si>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</si>
  <si>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</si>
  <si>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</si>
  <si>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</si>
  <si>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</si>
  <si>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</si>
  <si>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</si>
  <si>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Tuition Fee</t>
  </si>
  <si>
    <t>Hostel Fee</t>
  </si>
  <si>
    <t>Books</t>
  </si>
  <si>
    <t>Travel</t>
  </si>
  <si>
    <t>Budget</t>
  </si>
  <si>
    <t>Standard</t>
  </si>
  <si>
    <t>Premium</t>
  </si>
  <si>
    <t>Created by Vishnu K.Unni on 05-08-2026
Modified by Vishnu K.Unni on 05-08-2026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</si>
</sst>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8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6" fontId="0" fillId="3" borderId="2" xfId="0" applyNumberFormat="1" applyFill="1" applyBorder="1"/>
    <xf numFmtId="9" fontId="0" fillId="3" borderId="3" xfId="0" applyNumberFormat="1" applyFill="1" applyBorder="1"/>
    <xf numFmtId="0" fontId="0" fillId="3" borderId="3" xfId="0" applyFill="1" applyBorder="1"/>
    <xf numFmtId="8" fontId="0" fillId="3" borderId="3" xfId="0" applyNumberFormat="1" applyFill="1" applyBorder="1"/>
    <xf numFmtId="6" fontId="0" fillId="3" borderId="3" xfId="0" applyNumberFormat="1" applyFill="1" applyBorder="1"/>
    <xf numFmtId="0" fontId="0" fillId="3" borderId="2" xfId="0" applyFill="1" applyBorder="1"/>
    <xf numFmtId="0" fontId="0" fillId="0" borderId="5" xfId="0" applyBorder="1"/>
    <xf numFmtId="0" fontId="6" fillId="4" borderId="6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0" fillId="0" borderId="7" xfId="0" applyBorder="1"/>
    <xf numFmtId="0" fontId="7" fillId="5" borderId="0" xfId="0" applyFont="1" applyFill="1" applyAlignment="1">
      <alignment horizontal="left"/>
    </xf>
    <xf numFmtId="0" fontId="8" fillId="5" borderId="7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0" fillId="6" borderId="0" xfId="0" applyFill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K.Unni" refreshedDate="46238.990738310182" createdVersion="8" refreshedVersion="8" minRefreshableVersion="3" recordCount="20" xr:uid="{34101058-A7C2-42EC-B265-3F4E7BDE62DF}">
  <cacheSource type="worksheet">
    <worksheetSource name="Table1"/>
  </cacheSource>
  <cacheFields count="10">
    <cacheField name="Order_ID" numFmtId="0">
      <sharedItems containsSemiMixedTypes="0" containsString="0" containsNumber="1" containsInteger="1" minValue="1001" maxValue="1020"/>
    </cacheField>
    <cacheField name="Customer_Type" numFmtId="0">
      <sharedItems count="3">
        <s v="New"/>
        <s v="Existing"/>
        <s v="VIP"/>
      </sharedItems>
    </cacheField>
    <cacheField name="Region" numFmtId="0">
      <sharedItems count="4">
        <s v="South"/>
        <s v="North"/>
        <s v="West"/>
        <s v="East"/>
      </sharedItems>
    </cacheField>
    <cacheField name="Product_Category" numFmtId="0">
      <sharedItems count="4">
        <s v="Electronics"/>
        <s v="Clothing"/>
        <s v="Furniture"/>
        <s v="Groceries"/>
      </sharedItems>
    </cacheField>
    <cacheField name="Order_Amount" numFmtId="0">
      <sharedItems containsSemiMixedTypes="0" containsString="0" containsNumber="1" containsInteger="1" minValue="1500" maxValue="50000"/>
    </cacheField>
    <cacheField name="Discount_Percent" numFmtId="0">
      <sharedItems containsSemiMixedTypes="0" containsString="0" containsNumber="1" containsInteger="1" minValue="0" maxValue="30"/>
    </cacheField>
    <cacheField name="Payment_Mode" numFmtId="0">
      <sharedItems count="3">
        <s v="UPI"/>
        <s v="Cash"/>
        <s v="Card"/>
      </sharedItems>
    </cacheField>
    <cacheField name="Delivery_Days" numFmtId="0">
      <sharedItems containsSemiMixedTypes="0" containsString="0" containsNumber="1" containsInteger="1" minValue="1" maxValue="12"/>
    </cacheField>
    <cacheField name="Returned" numFmtId="0">
      <sharedItems/>
    </cacheField>
    <cacheField name="Customer_Rating" numFmtId="0">
      <sharedItems containsSemiMixedTypes="0" containsString="0" containsNumber="1" minValue="3.4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x v="0"/>
    <n v="12000"/>
    <n v="10"/>
    <x v="0"/>
    <n v="3"/>
    <s v="No"/>
    <n v="4.5"/>
  </r>
  <r>
    <n v="1002"/>
    <x v="1"/>
    <x v="1"/>
    <x v="1"/>
    <n v="2500"/>
    <n v="5"/>
    <x v="1"/>
    <n v="7"/>
    <s v="Yes"/>
    <n v="3.8"/>
  </r>
  <r>
    <n v="1003"/>
    <x v="2"/>
    <x v="2"/>
    <x v="2"/>
    <n v="45000"/>
    <n v="15"/>
    <x v="2"/>
    <n v="10"/>
    <s v="No"/>
    <n v="4.9000000000000004"/>
  </r>
  <r>
    <n v="1004"/>
    <x v="0"/>
    <x v="3"/>
    <x v="3"/>
    <n v="1800"/>
    <n v="0"/>
    <x v="0"/>
    <n v="2"/>
    <s v="No"/>
    <n v="4.2"/>
  </r>
  <r>
    <n v="1005"/>
    <x v="1"/>
    <x v="0"/>
    <x v="0"/>
    <n v="8000"/>
    <n v="20"/>
    <x v="2"/>
    <n v="5"/>
    <s v="Yes"/>
    <n v="3.5"/>
  </r>
  <r>
    <n v="1006"/>
    <x v="2"/>
    <x v="1"/>
    <x v="1"/>
    <n v="6000"/>
    <n v="25"/>
    <x v="0"/>
    <n v="4"/>
    <s v="No"/>
    <n v="4.8"/>
  </r>
  <r>
    <n v="1007"/>
    <x v="0"/>
    <x v="2"/>
    <x v="2"/>
    <n v="30000"/>
    <n v="10"/>
    <x v="1"/>
    <n v="12"/>
    <s v="Yes"/>
    <n v="3.9"/>
  </r>
  <r>
    <n v="1008"/>
    <x v="1"/>
    <x v="3"/>
    <x v="3"/>
    <n v="2200"/>
    <n v="5"/>
    <x v="2"/>
    <n v="3"/>
    <s v="No"/>
    <n v="4.0999999999999996"/>
  </r>
  <r>
    <n v="1009"/>
    <x v="2"/>
    <x v="0"/>
    <x v="0"/>
    <n v="15000"/>
    <n v="30"/>
    <x v="0"/>
    <n v="6"/>
    <s v="No"/>
    <n v="5"/>
  </r>
  <r>
    <n v="1010"/>
    <x v="0"/>
    <x v="1"/>
    <x v="1"/>
    <n v="2700"/>
    <n v="0"/>
    <x v="1"/>
    <n v="8"/>
    <s v="Yes"/>
    <n v="3.6"/>
  </r>
  <r>
    <n v="1011"/>
    <x v="1"/>
    <x v="2"/>
    <x v="2"/>
    <n v="38000"/>
    <n v="12"/>
    <x v="2"/>
    <n v="9"/>
    <s v="No"/>
    <n v="4.4000000000000004"/>
  </r>
  <r>
    <n v="1012"/>
    <x v="2"/>
    <x v="3"/>
    <x v="3"/>
    <n v="2000"/>
    <n v="10"/>
    <x v="0"/>
    <n v="2"/>
    <s v="No"/>
    <n v="4.7"/>
  </r>
  <r>
    <n v="1013"/>
    <x v="0"/>
    <x v="0"/>
    <x v="0"/>
    <n v="9000"/>
    <n v="18"/>
    <x v="2"/>
    <n v="4"/>
    <s v="Yes"/>
    <n v="3.7"/>
  </r>
  <r>
    <n v="1014"/>
    <x v="1"/>
    <x v="1"/>
    <x v="1"/>
    <n v="3200"/>
    <n v="5"/>
    <x v="0"/>
    <n v="6"/>
    <s v="No"/>
    <n v="4"/>
  </r>
  <r>
    <n v="1015"/>
    <x v="2"/>
    <x v="2"/>
    <x v="2"/>
    <n v="50000"/>
    <n v="20"/>
    <x v="1"/>
    <n v="11"/>
    <s v="No"/>
    <n v="4.9000000000000004"/>
  </r>
  <r>
    <n v="1016"/>
    <x v="0"/>
    <x v="3"/>
    <x v="3"/>
    <n v="1500"/>
    <n v="0"/>
    <x v="2"/>
    <n v="1"/>
    <s v="No"/>
    <n v="4.3"/>
  </r>
  <r>
    <n v="1017"/>
    <x v="1"/>
    <x v="0"/>
    <x v="0"/>
    <n v="11000"/>
    <n v="15"/>
    <x v="0"/>
    <n v="5"/>
    <s v="Yes"/>
    <n v="3.4"/>
  </r>
  <r>
    <n v="1018"/>
    <x v="2"/>
    <x v="1"/>
    <x v="1"/>
    <n v="7000"/>
    <n v="22"/>
    <x v="2"/>
    <n v="3"/>
    <s v="No"/>
    <n v="4.8"/>
  </r>
  <r>
    <n v="1019"/>
    <x v="0"/>
    <x v="2"/>
    <x v="2"/>
    <n v="25000"/>
    <n v="8"/>
    <x v="1"/>
    <n v="10"/>
    <s v="Yes"/>
    <n v="3.9"/>
  </r>
  <r>
    <n v="1020"/>
    <x v="1"/>
    <x v="3"/>
    <x v="3"/>
    <n v="2100"/>
    <n v="5"/>
    <x v="0"/>
    <n v="2"/>
    <s v="No"/>
    <n v="4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EC278-0540-4BD4-B494-2376CCBFD6B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4:R26" firstHeaderRow="1" firstDataRow="1" firstDataCol="1"/>
  <pivotFields count="10">
    <pivotField showAll="0"/>
    <pivotField showAll="0"/>
    <pivotField showAll="0"/>
    <pivotField axis="axisRow" showAll="0">
      <items count="5">
        <item h="1" x="1"/>
        <item x="0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Order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A1650-09AD-4846-9AD7-3B336AE6EDE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8:R22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06849-5524-409E-8370-3F69B0F6A1B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R16" firstHeaderRow="1" firstDataRow="1" firstDataCol="1"/>
  <pivotFields count="10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22A9-456F-4ADE-97F0-91BF151DBDB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8:R30" firstHeaderRow="1" firstDataRow="1" firstDataCol="1"/>
  <pivotFields count="10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Sum of Order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00738-AEFD-4B43-8487-C5D5406C9C7C}" name="Table1" displayName="Table1" ref="A1:N21" totalsRowShown="0">
  <autoFilter ref="A1:N21" xr:uid="{C7500738-AEFD-4B43-8487-C5D5406C9C7C}"/>
  <tableColumns count="14">
    <tableColumn id="1" xr3:uid="{EF48B9FE-18B0-4BA7-AD78-EDAA3390CE3C}" name="Order_ID"/>
    <tableColumn id="2" xr3:uid="{616E0BF8-D894-49C3-9488-1E4B3B81FADE}" name="Customer_Type"/>
    <tableColumn id="3" xr3:uid="{F1264DA9-7AD3-40C9-BE72-4B538C7115F2}" name="Region"/>
    <tableColumn id="4" xr3:uid="{03165312-2E83-4B10-A2FC-5C48C19D5116}" name="Product_Category"/>
    <tableColumn id="5" xr3:uid="{25B2F4E9-8D74-4577-9241-46FA505DE1F4}" name="Order_Amount"/>
    <tableColumn id="6" xr3:uid="{4D8B117C-F150-41E2-B337-DDC9B0554509}" name="Discount_Percent"/>
    <tableColumn id="7" xr3:uid="{515A1B04-2C0E-4BB1-8A72-547BF479F880}" name="Payment_Mode"/>
    <tableColumn id="8" xr3:uid="{A4DD35B3-A198-427C-9CB1-1ADF1190A9CD}" name="Delivery_Days"/>
    <tableColumn id="9" xr3:uid="{DD3A353F-019B-4073-A0F4-CF1661C9AAA7}" name="Returned"/>
    <tableColumn id="10" xr3:uid="{4A3DB5E0-E986-4277-A0D8-9868BC45FCEE}" name="Customer_Rating"/>
    <tableColumn id="11" xr3:uid="{44E757C4-E090-48D9-B124-6748DB3B4CF0}" name="Order status" dataDxfId="12">
      <calculatedColumnFormula>IF(Table1[[#This Row],[Order_Amount]]&gt;10000,"High Value","Normal")</calculatedColumnFormula>
    </tableColumn>
    <tableColumn id="12" xr3:uid="{4D6A6EAF-5CCF-472B-9300-A182BE73A6F1}" name="Priority Delivery" dataDxfId="11">
      <calculatedColumnFormula>IF(AND(Table1[[#This Row],[Customer_Type]]="VIP",Table1[[#This Row],[Delivery_Days]]&lt;=5),"Priority","Standard")</calculatedColumnFormula>
    </tableColumn>
    <tableColumn id="13" xr3:uid="{81B2AE20-DD27-41B3-88CC-0327533A1CE1}" name="Special Attention" dataDxfId="10">
      <calculatedColumnFormula>IF(OR(Table1[[#This Row],[Returned]]="Yes",Table1[[#This Row],[Customer_Rating]]&lt;4),"Review Required", "No Review")</calculatedColumnFormula>
    </tableColumn>
    <tableColumn id="14" xr3:uid="{2C3B70E1-0525-485D-952F-069E0CE2F5C6}" name="Customer_Rating2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opLeftCell="C1" zoomScale="77" workbookViewId="0">
      <selection activeCell="E25" sqref="E25"/>
    </sheetView>
  </sheetViews>
  <sheetFormatPr defaultRowHeight="14.4" x14ac:dyDescent="0.3"/>
  <cols>
    <col min="1" max="1" width="10.44140625" customWidth="1"/>
    <col min="2" max="2" width="16.109375" customWidth="1"/>
    <col min="4" max="4" width="18.109375" customWidth="1"/>
    <col min="5" max="5" width="15.5546875" customWidth="1"/>
    <col min="6" max="6" width="17.6640625" customWidth="1"/>
    <col min="7" max="7" width="16.44140625" customWidth="1"/>
    <col min="8" max="8" width="14.6640625" customWidth="1"/>
    <col min="9" max="9" width="10.6640625" customWidth="1"/>
    <col min="10" max="10" width="17.33203125" customWidth="1"/>
    <col min="11" max="11" width="11" customWidth="1"/>
    <col min="12" max="12" width="14.6640625" customWidth="1"/>
    <col min="13" max="13" width="15.88671875" customWidth="1"/>
    <col min="14" max="14" width="20.21875" customWidth="1"/>
    <col min="15" max="15" width="20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65</v>
      </c>
      <c r="L1" t="s">
        <v>67</v>
      </c>
      <c r="M1" t="s">
        <v>66</v>
      </c>
      <c r="N1" t="s">
        <v>68</v>
      </c>
    </row>
    <row r="2" spans="1:22" x14ac:dyDescent="0.3">
      <c r="A2">
        <v>1001</v>
      </c>
      <c r="B2" t="s">
        <v>10</v>
      </c>
      <c r="C2" t="s">
        <v>11</v>
      </c>
      <c r="D2" t="s">
        <v>12</v>
      </c>
      <c r="E2">
        <v>12000</v>
      </c>
      <c r="F2">
        <v>10</v>
      </c>
      <c r="G2" t="s">
        <v>13</v>
      </c>
      <c r="H2">
        <v>3</v>
      </c>
      <c r="I2" t="s">
        <v>14</v>
      </c>
      <c r="J2">
        <v>4.5</v>
      </c>
      <c r="K2" t="str">
        <f>IF(Table1[[#This Row],[Order_Amount]]&gt;10000,"High Value","Normal")</f>
        <v>High Value</v>
      </c>
      <c r="L2" t="str">
        <f>IF(AND(Table1[[#This Row],[Customer_Type]]="VIP",Table1[[#This Row],[Delivery_Days]]&lt;=5),"Priority","Standard")</f>
        <v>Standard</v>
      </c>
      <c r="M2" t="str">
        <f>IF(OR(Table1[[#This Row],[Returned]]="Yes",Table1[[#This Row],[Customer_Rating]]&lt;4),"Review Required", "No Review")</f>
        <v>No Review</v>
      </c>
      <c r="N2">
        <v>4.5</v>
      </c>
      <c r="Q2">
        <f>SUM(Table1[Order_Amount])</f>
        <v>274000</v>
      </c>
    </row>
    <row r="3" spans="1:22" ht="17.399999999999999" x14ac:dyDescent="0.3">
      <c r="A3">
        <v>1002</v>
      </c>
      <c r="B3" t="s">
        <v>15</v>
      </c>
      <c r="C3" t="s">
        <v>16</v>
      </c>
      <c r="D3" t="s">
        <v>17</v>
      </c>
      <c r="E3">
        <v>2500</v>
      </c>
      <c r="F3">
        <v>5</v>
      </c>
      <c r="G3" t="s">
        <v>18</v>
      </c>
      <c r="H3">
        <v>7</v>
      </c>
      <c r="I3" t="s">
        <v>19</v>
      </c>
      <c r="J3">
        <v>3.8</v>
      </c>
      <c r="K3" t="str">
        <f>IF(Table1[[#This Row],[Order_Amount]]&gt;10000,"High Value","Normal")</f>
        <v>Normal</v>
      </c>
      <c r="L3" t="str">
        <f>IF(AND(Table1[[#This Row],[Customer_Type]]="VIP",Table1[[#This Row],[Delivery_Days]]&lt;=5),"Priority","Standard")</f>
        <v>Standard</v>
      </c>
      <c r="M3" t="str">
        <f>IF(OR(Table1[[#This Row],[Returned]]="Yes",Table1[[#This Row],[Customer_Rating]]&lt;4),"Review Required", "No Review")</f>
        <v>Review Required</v>
      </c>
      <c r="N3">
        <v>3.8</v>
      </c>
      <c r="Q3">
        <f>SUM(Table1[Delivery_Days])</f>
        <v>113</v>
      </c>
      <c r="V3" s="1" t="s">
        <v>26</v>
      </c>
    </row>
    <row r="4" spans="1:22" ht="15.6" x14ac:dyDescent="0.3">
      <c r="A4">
        <v>1003</v>
      </c>
      <c r="B4" t="s">
        <v>20</v>
      </c>
      <c r="C4" t="s">
        <v>21</v>
      </c>
      <c r="D4" t="s">
        <v>22</v>
      </c>
      <c r="E4">
        <v>45000</v>
      </c>
      <c r="F4">
        <v>15</v>
      </c>
      <c r="G4" t="s">
        <v>23</v>
      </c>
      <c r="H4">
        <v>10</v>
      </c>
      <c r="I4" t="s">
        <v>14</v>
      </c>
      <c r="J4">
        <v>4.9000000000000004</v>
      </c>
      <c r="K4" t="str">
        <f>IF(Table1[[#This Row],[Order_Amount]]&gt;10000,"High Value","Normal")</f>
        <v>High Value</v>
      </c>
      <c r="L4" t="str">
        <f>IF(AND(Table1[[#This Row],[Customer_Type]]="VIP",Table1[[#This Row],[Delivery_Days]]&lt;=5),"Priority","Standard")</f>
        <v>Standard</v>
      </c>
      <c r="M4" t="str">
        <f>IF(OR(Table1[[#This Row],[Returned]]="Yes",Table1[[#This Row],[Customer_Rating]]&lt;4),"Review Required", "No Review")</f>
        <v>No Review</v>
      </c>
      <c r="N4">
        <v>4.9000000000000004</v>
      </c>
      <c r="Q4">
        <f>E2*F2</f>
        <v>120000</v>
      </c>
      <c r="V4" s="2" t="s">
        <v>27</v>
      </c>
    </row>
    <row r="5" spans="1:22" ht="15.6" x14ac:dyDescent="0.3">
      <c r="A5">
        <v>1004</v>
      </c>
      <c r="B5" t="s">
        <v>10</v>
      </c>
      <c r="C5" t="s">
        <v>24</v>
      </c>
      <c r="D5" t="s">
        <v>25</v>
      </c>
      <c r="E5">
        <v>1800</v>
      </c>
      <c r="F5">
        <v>0</v>
      </c>
      <c r="G5" t="s">
        <v>13</v>
      </c>
      <c r="H5">
        <v>2</v>
      </c>
      <c r="I5" t="s">
        <v>14</v>
      </c>
      <c r="J5">
        <v>4.2</v>
      </c>
      <c r="K5" t="str">
        <f>IF(Table1[[#This Row],[Order_Amount]]&gt;10000,"High Value","Normal")</f>
        <v>Normal</v>
      </c>
      <c r="L5" t="str">
        <f>IF(AND(Table1[[#This Row],[Customer_Type]]="VIP",Table1[[#This Row],[Delivery_Days]]&lt;=5),"Priority","Standard")</f>
        <v>Standard</v>
      </c>
      <c r="M5" t="str">
        <f>IF(OR(Table1[[#This Row],[Returned]]="Yes",Table1[[#This Row],[Customer_Rating]]&lt;4),"Review Required", "No Review")</f>
        <v>No Review</v>
      </c>
      <c r="N5">
        <v>4.2</v>
      </c>
      <c r="Q5">
        <f>J2*H2</f>
        <v>13.5</v>
      </c>
      <c r="V5" s="2" t="s">
        <v>28</v>
      </c>
    </row>
    <row r="6" spans="1:22" ht="15.6" x14ac:dyDescent="0.3">
      <c r="A6">
        <v>1005</v>
      </c>
      <c r="B6" t="s">
        <v>15</v>
      </c>
      <c r="C6" t="s">
        <v>11</v>
      </c>
      <c r="D6" t="s">
        <v>12</v>
      </c>
      <c r="E6">
        <v>8000</v>
      </c>
      <c r="F6">
        <v>20</v>
      </c>
      <c r="G6" t="s">
        <v>23</v>
      </c>
      <c r="H6">
        <v>5</v>
      </c>
      <c r="I6" t="s">
        <v>19</v>
      </c>
      <c r="J6">
        <v>3.5</v>
      </c>
      <c r="K6" t="str">
        <f>IF(Table1[[#This Row],[Order_Amount]]&gt;10000,"High Value","Normal")</f>
        <v>Normal</v>
      </c>
      <c r="L6" t="str">
        <f>IF(AND(Table1[[#This Row],[Customer_Type]]="VIP",Table1[[#This Row],[Delivery_Days]]&lt;=5),"Priority","Standard")</f>
        <v>Standard</v>
      </c>
      <c r="M6" t="str">
        <f>IF(OR(Table1[[#This Row],[Returned]]="Yes",Table1[[#This Row],[Customer_Rating]]&lt;4),"Review Required", "No Review")</f>
        <v>Review Required</v>
      </c>
      <c r="N6">
        <v>3.5</v>
      </c>
      <c r="Q6">
        <f>MIN(Table1[Order_Amount])</f>
        <v>1500</v>
      </c>
      <c r="V6" s="2" t="s">
        <v>29</v>
      </c>
    </row>
    <row r="7" spans="1:22" ht="15.6" x14ac:dyDescent="0.3">
      <c r="A7">
        <v>1006</v>
      </c>
      <c r="B7" t="s">
        <v>20</v>
      </c>
      <c r="C7" t="s">
        <v>16</v>
      </c>
      <c r="D7" t="s">
        <v>17</v>
      </c>
      <c r="E7">
        <v>6000</v>
      </c>
      <c r="F7">
        <v>25</v>
      </c>
      <c r="G7" t="s">
        <v>13</v>
      </c>
      <c r="H7">
        <v>4</v>
      </c>
      <c r="I7" t="s">
        <v>14</v>
      </c>
      <c r="J7">
        <v>4.8</v>
      </c>
      <c r="K7" t="str">
        <f>IF(Table1[[#This Row],[Order_Amount]]&gt;10000,"High Value","Normal")</f>
        <v>Normal</v>
      </c>
      <c r="L7" t="str">
        <f>IF(AND(Table1[[#This Row],[Customer_Type]]="VIP",Table1[[#This Row],[Delivery_Days]]&lt;=5),"Priority","Standard")</f>
        <v>Priority</v>
      </c>
      <c r="M7" t="str">
        <f>IF(OR(Table1[[#This Row],[Returned]]="Yes",Table1[[#This Row],[Customer_Rating]]&lt;4),"Review Required", "No Review")</f>
        <v>No Review</v>
      </c>
      <c r="N7">
        <v>4.8</v>
      </c>
      <c r="Q7">
        <f>MIN(Table1[Customer_Rating])</f>
        <v>3.4</v>
      </c>
      <c r="V7" s="2" t="s">
        <v>30</v>
      </c>
    </row>
    <row r="8" spans="1:22" ht="15.6" x14ac:dyDescent="0.3">
      <c r="A8">
        <v>1007</v>
      </c>
      <c r="B8" t="s">
        <v>10</v>
      </c>
      <c r="C8" t="s">
        <v>21</v>
      </c>
      <c r="D8" t="s">
        <v>22</v>
      </c>
      <c r="E8">
        <v>30000</v>
      </c>
      <c r="F8">
        <v>10</v>
      </c>
      <c r="G8" t="s">
        <v>18</v>
      </c>
      <c r="H8">
        <v>12</v>
      </c>
      <c r="I8" t="s">
        <v>19</v>
      </c>
      <c r="J8">
        <v>3.9</v>
      </c>
      <c r="K8" t="str">
        <f>IF(Table1[[#This Row],[Order_Amount]]&gt;10000,"High Value","Normal")</f>
        <v>High Value</v>
      </c>
      <c r="L8" t="str">
        <f>IF(AND(Table1[[#This Row],[Customer_Type]]="VIP",Table1[[#This Row],[Delivery_Days]]&lt;=5),"Priority","Standard")</f>
        <v>Standard</v>
      </c>
      <c r="M8" t="str">
        <f>IF(OR(Table1[[#This Row],[Returned]]="Yes",Table1[[#This Row],[Customer_Rating]]&lt;4),"Review Required", "No Review")</f>
        <v>Review Required</v>
      </c>
      <c r="N8">
        <v>3.9</v>
      </c>
      <c r="Q8">
        <f>MAX(Table1[Order_Amount])</f>
        <v>50000</v>
      </c>
      <c r="V8" s="2" t="s">
        <v>31</v>
      </c>
    </row>
    <row r="9" spans="1:22" ht="15.6" x14ac:dyDescent="0.3">
      <c r="A9">
        <v>1008</v>
      </c>
      <c r="B9" t="s">
        <v>15</v>
      </c>
      <c r="C9" t="s">
        <v>24</v>
      </c>
      <c r="D9" t="s">
        <v>25</v>
      </c>
      <c r="E9">
        <v>2200</v>
      </c>
      <c r="F9">
        <v>5</v>
      </c>
      <c r="G9" t="s">
        <v>23</v>
      </c>
      <c r="H9">
        <v>3</v>
      </c>
      <c r="I9" t="s">
        <v>14</v>
      </c>
      <c r="J9">
        <v>4.0999999999999996</v>
      </c>
      <c r="K9" t="str">
        <f>IF(Table1[[#This Row],[Order_Amount]]&gt;10000,"High Value","Normal")</f>
        <v>Normal</v>
      </c>
      <c r="L9" t="str">
        <f>IF(AND(Table1[[#This Row],[Customer_Type]]="VIP",Table1[[#This Row],[Delivery_Days]]&lt;=5),"Priority","Standard")</f>
        <v>Standard</v>
      </c>
      <c r="M9" t="str">
        <f>IF(OR(Table1[[#This Row],[Returned]]="Yes",Table1[[#This Row],[Customer_Rating]]&lt;4),"Review Required", "No Review")</f>
        <v>No Review</v>
      </c>
      <c r="N9">
        <v>4.0999999999999996</v>
      </c>
      <c r="Q9">
        <f>MAX(Table1[Delivery_Days])</f>
        <v>12</v>
      </c>
      <c r="V9" s="2" t="s">
        <v>32</v>
      </c>
    </row>
    <row r="10" spans="1:22" ht="15.6" x14ac:dyDescent="0.3">
      <c r="A10">
        <v>1009</v>
      </c>
      <c r="B10" t="s">
        <v>20</v>
      </c>
      <c r="C10" t="s">
        <v>11</v>
      </c>
      <c r="D10" t="s">
        <v>12</v>
      </c>
      <c r="E10">
        <v>15000</v>
      </c>
      <c r="F10">
        <v>30</v>
      </c>
      <c r="G10" t="s">
        <v>13</v>
      </c>
      <c r="H10">
        <v>6</v>
      </c>
      <c r="I10" t="s">
        <v>14</v>
      </c>
      <c r="J10">
        <v>5</v>
      </c>
      <c r="K10" t="str">
        <f>IF(Table1[[#This Row],[Order_Amount]]&gt;10000,"High Value","Normal")</f>
        <v>High Value</v>
      </c>
      <c r="L10" t="str">
        <f>IF(AND(Table1[[#This Row],[Customer_Type]]="VIP",Table1[[#This Row],[Delivery_Days]]&lt;=5),"Priority","Standard")</f>
        <v>Standard</v>
      </c>
      <c r="M10" t="str">
        <f>IF(OR(Table1[[#This Row],[Returned]]="Yes",Table1[[#This Row],[Customer_Rating]]&lt;4),"Review Required", "No Review")</f>
        <v>No Review</v>
      </c>
      <c r="N10">
        <v>5</v>
      </c>
      <c r="Q10">
        <f>AVERAGE(Table1[Order_Amount])</f>
        <v>13700</v>
      </c>
      <c r="V10" s="2" t="s">
        <v>33</v>
      </c>
    </row>
    <row r="11" spans="1:22" ht="15.6" x14ac:dyDescent="0.3">
      <c r="A11">
        <v>1010</v>
      </c>
      <c r="B11" t="s">
        <v>10</v>
      </c>
      <c r="C11" t="s">
        <v>16</v>
      </c>
      <c r="D11" t="s">
        <v>17</v>
      </c>
      <c r="E11">
        <v>2700</v>
      </c>
      <c r="F11">
        <v>0</v>
      </c>
      <c r="G11" t="s">
        <v>18</v>
      </c>
      <c r="H11">
        <v>8</v>
      </c>
      <c r="I11" t="s">
        <v>19</v>
      </c>
      <c r="J11">
        <v>3.6</v>
      </c>
      <c r="K11" t="str">
        <f>IF(Table1[[#This Row],[Order_Amount]]&gt;10000,"High Value","Normal")</f>
        <v>Normal</v>
      </c>
      <c r="L11" t="str">
        <f>IF(AND(Table1[[#This Row],[Customer_Type]]="VIP",Table1[[#This Row],[Delivery_Days]]&lt;=5),"Priority","Standard")</f>
        <v>Standard</v>
      </c>
      <c r="M11" t="str">
        <f>IF(OR(Table1[[#This Row],[Returned]]="Yes",Table1[[#This Row],[Customer_Rating]]&lt;4),"Review Required", "No Review")</f>
        <v>Review Required</v>
      </c>
      <c r="N11">
        <v>3.6</v>
      </c>
      <c r="Q11">
        <f>AVERAGE(Table1[Customer_Rating])</f>
        <v>4.2300000000000013</v>
      </c>
      <c r="V11" s="2" t="s">
        <v>34</v>
      </c>
    </row>
    <row r="12" spans="1:22" ht="15.6" x14ac:dyDescent="0.3">
      <c r="A12">
        <v>1011</v>
      </c>
      <c r="B12" t="s">
        <v>15</v>
      </c>
      <c r="C12" t="s">
        <v>21</v>
      </c>
      <c r="D12" t="s">
        <v>22</v>
      </c>
      <c r="E12">
        <v>38000</v>
      </c>
      <c r="F12">
        <v>12</v>
      </c>
      <c r="G12" t="s">
        <v>23</v>
      </c>
      <c r="H12">
        <v>9</v>
      </c>
      <c r="I12" t="s">
        <v>14</v>
      </c>
      <c r="J12">
        <v>4.4000000000000004</v>
      </c>
      <c r="K12" t="str">
        <f>IF(Table1[[#This Row],[Order_Amount]]&gt;10000,"High Value","Normal")</f>
        <v>High Value</v>
      </c>
      <c r="L12" t="str">
        <f>IF(AND(Table1[[#This Row],[Customer_Type]]="VIP",Table1[[#This Row],[Delivery_Days]]&lt;=5),"Priority","Standard")</f>
        <v>Standard</v>
      </c>
      <c r="M12" t="str">
        <f>IF(OR(Table1[[#This Row],[Returned]]="Yes",Table1[[#This Row],[Customer_Rating]]&lt;4),"Review Required", "No Review")</f>
        <v>No Review</v>
      </c>
      <c r="N12">
        <v>4.4000000000000004</v>
      </c>
      <c r="Q12" s="6" t="s">
        <v>61</v>
      </c>
      <c r="R12" t="s">
        <v>63</v>
      </c>
      <c r="V12" s="2" t="s">
        <v>35</v>
      </c>
    </row>
    <row r="13" spans="1:22" ht="15.6" x14ac:dyDescent="0.3">
      <c r="A13">
        <v>1012</v>
      </c>
      <c r="B13" t="s">
        <v>20</v>
      </c>
      <c r="C13" t="s">
        <v>24</v>
      </c>
      <c r="D13" t="s">
        <v>25</v>
      </c>
      <c r="E13">
        <v>2000</v>
      </c>
      <c r="F13">
        <v>10</v>
      </c>
      <c r="G13" t="s">
        <v>13</v>
      </c>
      <c r="H13">
        <v>2</v>
      </c>
      <c r="I13" t="s">
        <v>14</v>
      </c>
      <c r="J13">
        <v>4.7</v>
      </c>
      <c r="K13" t="str">
        <f>IF(Table1[[#This Row],[Order_Amount]]&gt;10000,"High Value","Normal")</f>
        <v>Normal</v>
      </c>
      <c r="L13" t="str">
        <f>IF(AND(Table1[[#This Row],[Customer_Type]]="VIP",Table1[[#This Row],[Delivery_Days]]&lt;=5),"Priority","Standard")</f>
        <v>Priority</v>
      </c>
      <c r="M13" t="str">
        <f>IF(OR(Table1[[#This Row],[Returned]]="Yes",Table1[[#This Row],[Customer_Rating]]&lt;4),"Review Required", "No Review")</f>
        <v>No Review</v>
      </c>
      <c r="N13">
        <v>4.7</v>
      </c>
      <c r="Q13" s="7" t="s">
        <v>15</v>
      </c>
      <c r="R13">
        <v>7</v>
      </c>
      <c r="V13" s="2" t="s">
        <v>36</v>
      </c>
    </row>
    <row r="14" spans="1:22" ht="15.6" x14ac:dyDescent="0.3">
      <c r="A14">
        <v>1013</v>
      </c>
      <c r="B14" t="s">
        <v>10</v>
      </c>
      <c r="C14" t="s">
        <v>11</v>
      </c>
      <c r="D14" t="s">
        <v>12</v>
      </c>
      <c r="E14">
        <v>9000</v>
      </c>
      <c r="F14">
        <v>18</v>
      </c>
      <c r="G14" t="s">
        <v>23</v>
      </c>
      <c r="H14">
        <v>4</v>
      </c>
      <c r="I14" t="s">
        <v>19</v>
      </c>
      <c r="J14">
        <v>3.7</v>
      </c>
      <c r="K14" t="str">
        <f>IF(Table1[[#This Row],[Order_Amount]]&gt;10000,"High Value","Normal")</f>
        <v>Normal</v>
      </c>
      <c r="L14" t="str">
        <f>IF(AND(Table1[[#This Row],[Customer_Type]]="VIP",Table1[[#This Row],[Delivery_Days]]&lt;=5),"Priority","Standard")</f>
        <v>Standard</v>
      </c>
      <c r="M14" t="str">
        <f>IF(OR(Table1[[#This Row],[Returned]]="Yes",Table1[[#This Row],[Customer_Rating]]&lt;4),"Review Required", "No Review")</f>
        <v>Review Required</v>
      </c>
      <c r="N14">
        <v>3.7</v>
      </c>
      <c r="Q14" s="7" t="s">
        <v>10</v>
      </c>
      <c r="R14">
        <v>7</v>
      </c>
      <c r="V14" s="2" t="s">
        <v>37</v>
      </c>
    </row>
    <row r="15" spans="1:22" ht="15.6" x14ac:dyDescent="0.3">
      <c r="A15">
        <v>1014</v>
      </c>
      <c r="B15" t="s">
        <v>15</v>
      </c>
      <c r="C15" t="s">
        <v>16</v>
      </c>
      <c r="D15" t="s">
        <v>17</v>
      </c>
      <c r="E15">
        <v>3200</v>
      </c>
      <c r="F15">
        <v>5</v>
      </c>
      <c r="G15" t="s">
        <v>13</v>
      </c>
      <c r="H15">
        <v>6</v>
      </c>
      <c r="I15" t="s">
        <v>14</v>
      </c>
      <c r="J15">
        <v>4</v>
      </c>
      <c r="K15" t="str">
        <f>IF(Table1[[#This Row],[Order_Amount]]&gt;10000,"High Value","Normal")</f>
        <v>Normal</v>
      </c>
      <c r="L15" t="str">
        <f>IF(AND(Table1[[#This Row],[Customer_Type]]="VIP",Table1[[#This Row],[Delivery_Days]]&lt;=5),"Priority","Standard")</f>
        <v>Standard</v>
      </c>
      <c r="M15" t="str">
        <f>IF(OR(Table1[[#This Row],[Returned]]="Yes",Table1[[#This Row],[Customer_Rating]]&lt;4),"Review Required", "No Review")</f>
        <v>No Review</v>
      </c>
      <c r="N15">
        <v>4</v>
      </c>
      <c r="Q15" s="7" t="s">
        <v>20</v>
      </c>
      <c r="R15">
        <v>6</v>
      </c>
      <c r="V15" s="2" t="s">
        <v>38</v>
      </c>
    </row>
    <row r="16" spans="1:22" ht="15.6" x14ac:dyDescent="0.3">
      <c r="A16">
        <v>1015</v>
      </c>
      <c r="B16" t="s">
        <v>20</v>
      </c>
      <c r="C16" t="s">
        <v>21</v>
      </c>
      <c r="D16" t="s">
        <v>22</v>
      </c>
      <c r="E16">
        <v>50000</v>
      </c>
      <c r="F16">
        <v>20</v>
      </c>
      <c r="G16" t="s">
        <v>18</v>
      </c>
      <c r="H16">
        <v>11</v>
      </c>
      <c r="I16" t="s">
        <v>14</v>
      </c>
      <c r="J16">
        <v>4.9000000000000004</v>
      </c>
      <c r="K16" t="str">
        <f>IF(Table1[[#This Row],[Order_Amount]]&gt;10000,"High Value","Normal")</f>
        <v>High Value</v>
      </c>
      <c r="L16" t="str">
        <f>IF(AND(Table1[[#This Row],[Customer_Type]]="VIP",Table1[[#This Row],[Delivery_Days]]&lt;=5),"Priority","Standard")</f>
        <v>Standard</v>
      </c>
      <c r="M16" t="str">
        <f>IF(OR(Table1[[#This Row],[Returned]]="Yes",Table1[[#This Row],[Customer_Rating]]&lt;4),"Review Required", "No Review")</f>
        <v>No Review</v>
      </c>
      <c r="N16">
        <v>4.9000000000000004</v>
      </c>
      <c r="Q16" s="7" t="s">
        <v>62</v>
      </c>
      <c r="R16">
        <v>20</v>
      </c>
      <c r="V16" s="2" t="s">
        <v>39</v>
      </c>
    </row>
    <row r="17" spans="1:22" ht="15.6" x14ac:dyDescent="0.3">
      <c r="A17">
        <v>1016</v>
      </c>
      <c r="B17" t="s">
        <v>10</v>
      </c>
      <c r="C17" t="s">
        <v>24</v>
      </c>
      <c r="D17" t="s">
        <v>25</v>
      </c>
      <c r="E17">
        <v>1500</v>
      </c>
      <c r="F17">
        <v>0</v>
      </c>
      <c r="G17" t="s">
        <v>23</v>
      </c>
      <c r="H17">
        <v>1</v>
      </c>
      <c r="I17" t="s">
        <v>14</v>
      </c>
      <c r="J17">
        <v>4.3</v>
      </c>
      <c r="K17" t="str">
        <f>IF(Table1[[#This Row],[Order_Amount]]&gt;10000,"High Value","Normal")</f>
        <v>Normal</v>
      </c>
      <c r="L17" t="str">
        <f>IF(AND(Table1[[#This Row],[Customer_Type]]="VIP",Table1[[#This Row],[Delivery_Days]]&lt;=5),"Priority","Standard")</f>
        <v>Standard</v>
      </c>
      <c r="M17" t="str">
        <f>IF(OR(Table1[[#This Row],[Returned]]="Yes",Table1[[#This Row],[Customer_Rating]]&lt;4),"Review Required", "No Review")</f>
        <v>No Review</v>
      </c>
      <c r="N17">
        <v>4.3</v>
      </c>
      <c r="V17" s="2" t="s">
        <v>40</v>
      </c>
    </row>
    <row r="18" spans="1:22" ht="15.6" x14ac:dyDescent="0.3">
      <c r="A18">
        <v>1017</v>
      </c>
      <c r="B18" t="s">
        <v>15</v>
      </c>
      <c r="C18" t="s">
        <v>11</v>
      </c>
      <c r="D18" t="s">
        <v>12</v>
      </c>
      <c r="E18">
        <v>11000</v>
      </c>
      <c r="F18">
        <v>15</v>
      </c>
      <c r="G18" t="s">
        <v>13</v>
      </c>
      <c r="H18">
        <v>5</v>
      </c>
      <c r="I18" t="s">
        <v>19</v>
      </c>
      <c r="J18">
        <v>3.4</v>
      </c>
      <c r="K18" t="str">
        <f>IF(Table1[[#This Row],[Order_Amount]]&gt;10000,"High Value","Normal")</f>
        <v>High Value</v>
      </c>
      <c r="L18" t="str">
        <f>IF(AND(Table1[[#This Row],[Customer_Type]]="VIP",Table1[[#This Row],[Delivery_Days]]&lt;=5),"Priority","Standard")</f>
        <v>Standard</v>
      </c>
      <c r="M18" t="str">
        <f>IF(OR(Table1[[#This Row],[Returned]]="Yes",Table1[[#This Row],[Customer_Rating]]&lt;4),"Review Required", "No Review")</f>
        <v>Review Required</v>
      </c>
      <c r="N18">
        <v>3.4</v>
      </c>
      <c r="Q18" s="6" t="s">
        <v>61</v>
      </c>
      <c r="R18" t="s">
        <v>63</v>
      </c>
      <c r="V18" s="2" t="s">
        <v>41</v>
      </c>
    </row>
    <row r="19" spans="1:22" ht="15.6" x14ac:dyDescent="0.3">
      <c r="A19">
        <v>1018</v>
      </c>
      <c r="B19" t="s">
        <v>20</v>
      </c>
      <c r="C19" t="s">
        <v>16</v>
      </c>
      <c r="D19" t="s">
        <v>17</v>
      </c>
      <c r="E19">
        <v>7000</v>
      </c>
      <c r="F19">
        <v>22</v>
      </c>
      <c r="G19" t="s">
        <v>23</v>
      </c>
      <c r="H19">
        <v>3</v>
      </c>
      <c r="I19" t="s">
        <v>14</v>
      </c>
      <c r="J19">
        <v>4.8</v>
      </c>
      <c r="K19" t="str">
        <f>IF(Table1[[#This Row],[Order_Amount]]&gt;10000,"High Value","Normal")</f>
        <v>Normal</v>
      </c>
      <c r="L19" t="str">
        <f>IF(AND(Table1[[#This Row],[Customer_Type]]="VIP",Table1[[#This Row],[Delivery_Days]]&lt;=5),"Priority","Standard")</f>
        <v>Priority</v>
      </c>
      <c r="M19" t="str">
        <f>IF(OR(Table1[[#This Row],[Returned]]="Yes",Table1[[#This Row],[Customer_Rating]]&lt;4),"Review Required", "No Review")</f>
        <v>No Review</v>
      </c>
      <c r="N19">
        <v>4.8</v>
      </c>
      <c r="Q19" s="7" t="s">
        <v>23</v>
      </c>
      <c r="R19">
        <v>7</v>
      </c>
      <c r="V19" s="2" t="s">
        <v>42</v>
      </c>
    </row>
    <row r="20" spans="1:22" ht="15.6" x14ac:dyDescent="0.3">
      <c r="A20">
        <v>1019</v>
      </c>
      <c r="B20" t="s">
        <v>10</v>
      </c>
      <c r="C20" t="s">
        <v>21</v>
      </c>
      <c r="D20" t="s">
        <v>22</v>
      </c>
      <c r="E20">
        <v>25000</v>
      </c>
      <c r="F20">
        <v>8</v>
      </c>
      <c r="G20" t="s">
        <v>18</v>
      </c>
      <c r="H20">
        <v>10</v>
      </c>
      <c r="I20" t="s">
        <v>19</v>
      </c>
      <c r="J20">
        <v>3.9</v>
      </c>
      <c r="K20" t="str">
        <f>IF(Table1[[#This Row],[Order_Amount]]&gt;10000,"High Value","Normal")</f>
        <v>High Value</v>
      </c>
      <c r="L20" t="str">
        <f>IF(AND(Table1[[#This Row],[Customer_Type]]="VIP",Table1[[#This Row],[Delivery_Days]]&lt;=5),"Priority","Standard")</f>
        <v>Standard</v>
      </c>
      <c r="M20" t="str">
        <f>IF(OR(Table1[[#This Row],[Returned]]="Yes",Table1[[#This Row],[Customer_Rating]]&lt;4),"Review Required", "No Review")</f>
        <v>Review Required</v>
      </c>
      <c r="N20">
        <v>3.9</v>
      </c>
      <c r="Q20" s="7" t="s">
        <v>18</v>
      </c>
      <c r="R20">
        <v>5</v>
      </c>
      <c r="V20" s="2" t="s">
        <v>43</v>
      </c>
    </row>
    <row r="21" spans="1:22" ht="15.6" x14ac:dyDescent="0.3">
      <c r="A21">
        <v>1020</v>
      </c>
      <c r="B21" t="s">
        <v>15</v>
      </c>
      <c r="C21" t="s">
        <v>24</v>
      </c>
      <c r="D21" t="s">
        <v>25</v>
      </c>
      <c r="E21">
        <v>2100</v>
      </c>
      <c r="F21">
        <v>5</v>
      </c>
      <c r="G21" t="s">
        <v>13</v>
      </c>
      <c r="H21">
        <v>2</v>
      </c>
      <c r="I21" t="s">
        <v>14</v>
      </c>
      <c r="J21">
        <v>4.2</v>
      </c>
      <c r="K21" t="str">
        <f>IF(Table1[[#This Row],[Order_Amount]]&gt;10000,"High Value","Normal")</f>
        <v>Normal</v>
      </c>
      <c r="L21" t="str">
        <f>IF(AND(Table1[[#This Row],[Customer_Type]]="VIP",Table1[[#This Row],[Delivery_Days]]&lt;=5),"Priority","Standard")</f>
        <v>Standard</v>
      </c>
      <c r="M21" t="str">
        <f>IF(OR(Table1[[#This Row],[Returned]]="Yes",Table1[[#This Row],[Customer_Rating]]&lt;4),"Review Required", "No Review")</f>
        <v>No Review</v>
      </c>
      <c r="N21">
        <v>4.2</v>
      </c>
      <c r="Q21" s="7" t="s">
        <v>13</v>
      </c>
      <c r="R21">
        <v>8</v>
      </c>
      <c r="V21" s="2" t="s">
        <v>44</v>
      </c>
    </row>
    <row r="22" spans="1:22" ht="15.6" x14ac:dyDescent="0.3">
      <c r="Q22" s="7" t="s">
        <v>62</v>
      </c>
      <c r="R22">
        <v>20</v>
      </c>
      <c r="V22" s="2" t="s">
        <v>45</v>
      </c>
    </row>
    <row r="23" spans="1:22" x14ac:dyDescent="0.3">
      <c r="V23" s="3"/>
    </row>
    <row r="24" spans="1:22" ht="15.6" x14ac:dyDescent="0.3">
      <c r="Q24" s="6" t="s">
        <v>61</v>
      </c>
      <c r="R24" t="s">
        <v>64</v>
      </c>
      <c r="V24" s="4" t="s">
        <v>46</v>
      </c>
    </row>
    <row r="25" spans="1:22" ht="15.6" x14ac:dyDescent="0.3">
      <c r="Q25" s="7" t="s">
        <v>12</v>
      </c>
      <c r="R25">
        <v>55000</v>
      </c>
      <c r="V25" s="2" t="s">
        <v>47</v>
      </c>
    </row>
    <row r="26" spans="1:22" x14ac:dyDescent="0.3">
      <c r="Q26" s="7" t="s">
        <v>62</v>
      </c>
      <c r="R26">
        <v>55000</v>
      </c>
      <c r="V26" s="3"/>
    </row>
    <row r="27" spans="1:22" ht="15.6" x14ac:dyDescent="0.3">
      <c r="V27" s="4" t="s">
        <v>48</v>
      </c>
    </row>
    <row r="28" spans="1:22" ht="15.6" x14ac:dyDescent="0.3">
      <c r="Q28" s="6" t="s">
        <v>61</v>
      </c>
      <c r="R28" t="s">
        <v>64</v>
      </c>
      <c r="V28" s="2" t="s">
        <v>49</v>
      </c>
    </row>
    <row r="29" spans="1:22" x14ac:dyDescent="0.3">
      <c r="Q29" s="7" t="s">
        <v>11</v>
      </c>
      <c r="R29">
        <v>55000</v>
      </c>
      <c r="V29" s="3"/>
    </row>
    <row r="30" spans="1:22" ht="15.6" x14ac:dyDescent="0.3">
      <c r="Q30" s="7" t="s">
        <v>62</v>
      </c>
      <c r="R30">
        <v>55000</v>
      </c>
      <c r="V30" s="4" t="s">
        <v>50</v>
      </c>
    </row>
    <row r="31" spans="1:22" ht="15.6" x14ac:dyDescent="0.3">
      <c r="V31" s="2" t="s">
        <v>51</v>
      </c>
    </row>
    <row r="32" spans="1:22" ht="15.6" x14ac:dyDescent="0.3">
      <c r="Q32">
        <f>SUMIF(Table1[Payment_Mode],"UPI",Table1[Discount_Percent])</f>
        <v>100</v>
      </c>
      <c r="V32" s="2" t="s">
        <v>52</v>
      </c>
    </row>
    <row r="33" spans="17:22" ht="15.6" x14ac:dyDescent="0.3">
      <c r="Q33">
        <f>COUNTIF(Table1[Customer_Type],"VIP")</f>
        <v>6</v>
      </c>
      <c r="V33" s="2" t="s">
        <v>53</v>
      </c>
    </row>
    <row r="34" spans="17:22" ht="15.6" x14ac:dyDescent="0.3">
      <c r="Q34">
        <f>COUNTIF(Table1[Returned],"Yes")</f>
        <v>7</v>
      </c>
      <c r="V34" s="2" t="s">
        <v>54</v>
      </c>
    </row>
    <row r="35" spans="17:22" ht="15.6" x14ac:dyDescent="0.3">
      <c r="Q35">
        <f>COUNTIF(Table1[Product_Category],"Furniture")</f>
        <v>5</v>
      </c>
      <c r="V35" s="2" t="s">
        <v>55</v>
      </c>
    </row>
    <row r="36" spans="17:22" ht="15.6" x14ac:dyDescent="0.3">
      <c r="V36" s="2" t="s">
        <v>56</v>
      </c>
    </row>
    <row r="37" spans="17:22" ht="15.6" x14ac:dyDescent="0.3">
      <c r="V37" s="2" t="s">
        <v>57</v>
      </c>
    </row>
    <row r="38" spans="17:22" ht="15.6" x14ac:dyDescent="0.3">
      <c r="V38" s="2" t="s">
        <v>58</v>
      </c>
    </row>
    <row r="39" spans="17:22" ht="15.6" x14ac:dyDescent="0.3">
      <c r="V39" s="2" t="s">
        <v>59</v>
      </c>
    </row>
    <row r="40" spans="17:22" ht="15.6" x14ac:dyDescent="0.3">
      <c r="V40" s="2" t="s">
        <v>60</v>
      </c>
    </row>
    <row r="41" spans="17:22" ht="15.6" x14ac:dyDescent="0.3">
      <c r="R41" s="5"/>
    </row>
  </sheetData>
  <conditionalFormatting sqref="B2:B21">
    <cfRule type="containsText" dxfId="8" priority="3" operator="containsText" text="VIP">
      <formula>NOT(ISERROR(SEARCH("VIP",B2)))</formula>
    </cfRule>
  </conditionalFormatting>
  <conditionalFormatting sqref="D2:D21">
    <cfRule type="containsText" dxfId="7" priority="1" operator="containsText" text="Electronics">
      <formula>NOT(ISERROR(SEARCH("Electronics",D2)))</formula>
    </cfRule>
  </conditionalFormatting>
  <conditionalFormatting sqref="E2:E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{7BFCCFD3-CC6F-4607-BFC7-A18035355550}</x14:id>
        </ext>
      </extLst>
    </cfRule>
    <cfRule type="cellIs" dxfId="6" priority="12" operator="greaterThan">
      <formula>20000</formula>
    </cfRule>
  </conditionalFormatting>
  <conditionalFormatting sqref="F2:F21">
    <cfRule type="top10" dxfId="5" priority="2" percent="1" rank="20"/>
  </conditionalFormatting>
  <conditionalFormatting sqref="G2:G21">
    <cfRule type="duplicateValues" dxfId="4" priority="7"/>
  </conditionalFormatting>
  <conditionalFormatting sqref="H2:H21">
    <cfRule type="cellIs" dxfId="3" priority="8" operator="greaterThan">
      <formula>7</formula>
    </cfRule>
  </conditionalFormatting>
  <conditionalFormatting sqref="I2:I21">
    <cfRule type="containsText" dxfId="2" priority="9" operator="containsText" text="Yes">
      <formula>NOT(ISERROR(SEARCH("Yes",I2)))</formula>
    </cfRule>
    <cfRule type="containsText" dxfId="1" priority="10" operator="containsText" text="Yes">
      <formula>NOT(ISERROR(SEARCH("Yes",I2)))</formula>
    </cfRule>
  </conditionalFormatting>
  <conditionalFormatting sqref="J2:J21">
    <cfRule type="cellIs" dxfId="0" priority="11" operator="lessThan">
      <formula>4</formula>
    </cfRule>
  </conditionalFormatting>
  <conditionalFormatting sqref="N2:N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FCCFD3-CC6F-4607-BFC7-A18035355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055F-56FA-4E3C-838B-9625A328EC4A}">
  <dimension ref="A1:G24"/>
  <sheetViews>
    <sheetView tabSelected="1" workbookViewId="0">
      <selection activeCell="D2" sqref="D2"/>
    </sheetView>
  </sheetViews>
  <sheetFormatPr defaultRowHeight="14.4" x14ac:dyDescent="0.3"/>
  <cols>
    <col min="1" max="1" width="14.33203125" customWidth="1"/>
    <col min="2" max="2" width="15.44140625" customWidth="1"/>
    <col min="3" max="3" width="19.5546875" customWidth="1"/>
    <col min="4" max="4" width="19" customWidth="1"/>
    <col min="5" max="5" width="10.6640625" customWidth="1"/>
  </cols>
  <sheetData>
    <row r="1" spans="1:5" ht="15" thickBot="1" x14ac:dyDescent="0.35">
      <c r="A1" s="10" t="s">
        <v>69</v>
      </c>
      <c r="B1" s="11" t="s">
        <v>70</v>
      </c>
      <c r="C1" s="11" t="s">
        <v>71</v>
      </c>
      <c r="D1" s="11" t="s">
        <v>72</v>
      </c>
    </row>
    <row r="2" spans="1:5" ht="15" thickTop="1" x14ac:dyDescent="0.3">
      <c r="A2" s="12">
        <v>500000</v>
      </c>
      <c r="B2" s="13">
        <v>0.08</v>
      </c>
      <c r="C2" s="14">
        <v>5</v>
      </c>
      <c r="D2" s="15">
        <f>PMT(B2/12,C2*12,-A2)</f>
        <v>10138.197144206841</v>
      </c>
    </row>
    <row r="5" spans="1:5" x14ac:dyDescent="0.3">
      <c r="D5" t="s">
        <v>76</v>
      </c>
      <c r="E5" s="9">
        <f>D2</f>
        <v>10138.197144206841</v>
      </c>
    </row>
    <row r="6" spans="1:5" x14ac:dyDescent="0.3">
      <c r="D6">
        <v>6</v>
      </c>
      <c r="E6">
        <f t="dataTable" ref="E6:E10" dt2D="0" dtr="0" r1="B2" ca="1"/>
        <v>250000.00000679932</v>
      </c>
    </row>
    <row r="7" spans="1:5" x14ac:dyDescent="0.3">
      <c r="D7">
        <v>7</v>
      </c>
      <c r="E7">
        <v>291666.66666697606</v>
      </c>
    </row>
    <row r="8" spans="1:5" x14ac:dyDescent="0.3">
      <c r="D8">
        <v>8</v>
      </c>
      <c r="E8">
        <v>333333.33333334961</v>
      </c>
    </row>
    <row r="9" spans="1:5" x14ac:dyDescent="0.3">
      <c r="D9">
        <v>9</v>
      </c>
      <c r="E9">
        <v>375000.00000000099</v>
      </c>
    </row>
    <row r="10" spans="1:5" x14ac:dyDescent="0.3">
      <c r="D10">
        <v>10</v>
      </c>
      <c r="E10">
        <v>416666.66666666674</v>
      </c>
    </row>
    <row r="12" spans="1:5" x14ac:dyDescent="0.3">
      <c r="D12" t="s">
        <v>77</v>
      </c>
      <c r="E12" s="9">
        <f>D2</f>
        <v>10138.197144206841</v>
      </c>
    </row>
    <row r="13" spans="1:5" x14ac:dyDescent="0.3">
      <c r="D13">
        <v>5</v>
      </c>
      <c r="E13">
        <f t="dataTable" ref="E13:E16" dt2D="0" dtr="0" r1="C2"/>
        <v>10138.197144206841</v>
      </c>
    </row>
    <row r="14" spans="1:5" x14ac:dyDescent="0.3">
      <c r="D14">
        <v>10</v>
      </c>
      <c r="E14">
        <v>6066.3797177678462</v>
      </c>
    </row>
    <row r="15" spans="1:5" x14ac:dyDescent="0.3">
      <c r="D15">
        <v>15</v>
      </c>
      <c r="E15">
        <v>4778.2604216517575</v>
      </c>
    </row>
    <row r="16" spans="1:5" x14ac:dyDescent="0.3">
      <c r="D16">
        <v>20</v>
      </c>
      <c r="E16">
        <v>4182.2003449673139</v>
      </c>
    </row>
    <row r="18" spans="3:7" x14ac:dyDescent="0.3">
      <c r="E18" t="s">
        <v>76</v>
      </c>
    </row>
    <row r="19" spans="3:7" x14ac:dyDescent="0.3">
      <c r="D19" s="9">
        <f>D2</f>
        <v>10138.197144206841</v>
      </c>
      <c r="E19">
        <v>6</v>
      </c>
      <c r="F19">
        <v>8</v>
      </c>
      <c r="G19">
        <v>10</v>
      </c>
    </row>
    <row r="20" spans="3:7" x14ac:dyDescent="0.3">
      <c r="D20" s="8">
        <v>300000</v>
      </c>
      <c r="E20">
        <f t="dataTable" ref="E20:G24" dt2D="1" dtr="1" r1="B2" r2="A2" ca="1"/>
        <v>150000.0000040796</v>
      </c>
      <c r="F20">
        <v>200000.00000000978</v>
      </c>
      <c r="G20">
        <v>250000.00000000006</v>
      </c>
    </row>
    <row r="21" spans="3:7" x14ac:dyDescent="0.3">
      <c r="C21" t="s">
        <v>78</v>
      </c>
      <c r="E21">
        <v>0</v>
      </c>
      <c r="F21">
        <v>0</v>
      </c>
      <c r="G21">
        <v>0</v>
      </c>
    </row>
    <row r="22" spans="3:7" x14ac:dyDescent="0.3">
      <c r="D22" s="8">
        <v>500000</v>
      </c>
      <c r="E22">
        <v>250000.00000679932</v>
      </c>
      <c r="F22">
        <v>333333.33333334961</v>
      </c>
      <c r="G22">
        <v>416666.66666666674</v>
      </c>
    </row>
    <row r="23" spans="3:7" x14ac:dyDescent="0.3">
      <c r="E23">
        <v>0</v>
      </c>
      <c r="F23">
        <v>0</v>
      </c>
      <c r="G23">
        <v>0</v>
      </c>
    </row>
    <row r="24" spans="3:7" x14ac:dyDescent="0.3">
      <c r="D24" s="8">
        <v>700000</v>
      </c>
      <c r="E24">
        <v>350000.00000951905</v>
      </c>
      <c r="F24">
        <v>466666.66666668945</v>
      </c>
      <c r="G24">
        <v>583333.33333333349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8163-FD06-4402-B27D-6C68FD402A3D}">
  <dimension ref="A1:I23"/>
  <sheetViews>
    <sheetView workbookViewId="0">
      <selection activeCell="C6" sqref="C6"/>
    </sheetView>
  </sheetViews>
  <sheetFormatPr defaultRowHeight="14.4" x14ac:dyDescent="0.3"/>
  <cols>
    <col min="1" max="1" width="16.6640625" customWidth="1"/>
    <col min="2" max="2" width="15.21875" customWidth="1"/>
    <col min="3" max="3" width="14.33203125" customWidth="1"/>
    <col min="6" max="6" width="10.88671875" customWidth="1"/>
  </cols>
  <sheetData>
    <row r="1" spans="1:4" ht="15" thickBot="1" x14ac:dyDescent="0.35">
      <c r="A1" s="10" t="s">
        <v>79</v>
      </c>
      <c r="B1" s="11" t="s">
        <v>80</v>
      </c>
      <c r="C1" s="11" t="s">
        <v>81</v>
      </c>
    </row>
    <row r="2" spans="1:4" ht="15" thickTop="1" x14ac:dyDescent="0.3">
      <c r="A2" s="17">
        <v>350</v>
      </c>
      <c r="B2" s="16">
        <v>8</v>
      </c>
      <c r="C2" s="16">
        <f>A2*B2</f>
        <v>2800</v>
      </c>
    </row>
    <row r="4" spans="1:4" x14ac:dyDescent="0.3">
      <c r="C4" t="s">
        <v>82</v>
      </c>
      <c r="D4" s="8">
        <f>C2</f>
        <v>2800</v>
      </c>
    </row>
    <row r="5" spans="1:4" x14ac:dyDescent="0.3">
      <c r="C5">
        <v>6</v>
      </c>
      <c r="D5">
        <f t="dataTable" ref="D5:D9" dt2D="0" dtr="0" r1="B2" ca="1"/>
        <v>2100</v>
      </c>
    </row>
    <row r="6" spans="1:4" x14ac:dyDescent="0.3">
      <c r="C6">
        <v>7</v>
      </c>
      <c r="D6">
        <v>2450</v>
      </c>
    </row>
    <row r="7" spans="1:4" x14ac:dyDescent="0.3">
      <c r="C7">
        <v>8</v>
      </c>
      <c r="D7">
        <v>2800</v>
      </c>
    </row>
    <row r="8" spans="1:4" x14ac:dyDescent="0.3">
      <c r="C8">
        <v>9</v>
      </c>
      <c r="D8">
        <v>3150</v>
      </c>
    </row>
    <row r="9" spans="1:4" x14ac:dyDescent="0.3">
      <c r="C9">
        <v>10</v>
      </c>
      <c r="D9">
        <v>3500</v>
      </c>
    </row>
    <row r="11" spans="1:4" x14ac:dyDescent="0.3">
      <c r="C11" t="s">
        <v>83</v>
      </c>
      <c r="D11" s="8">
        <f>C2</f>
        <v>2800</v>
      </c>
    </row>
    <row r="12" spans="1:4" x14ac:dyDescent="0.3">
      <c r="C12">
        <v>200</v>
      </c>
      <c r="D12">
        <f t="dataTable" ref="D12:D16" dt2D="0" dtr="0" r1="A2"/>
        <v>1600</v>
      </c>
    </row>
    <row r="13" spans="1:4" x14ac:dyDescent="0.3">
      <c r="C13">
        <v>300</v>
      </c>
      <c r="D13">
        <v>2400</v>
      </c>
    </row>
    <row r="14" spans="1:4" x14ac:dyDescent="0.3">
      <c r="C14">
        <v>400</v>
      </c>
      <c r="D14">
        <v>3200</v>
      </c>
    </row>
    <row r="15" spans="1:4" x14ac:dyDescent="0.3">
      <c r="C15">
        <v>500</v>
      </c>
      <c r="D15">
        <v>4000</v>
      </c>
    </row>
    <row r="16" spans="1:4" x14ac:dyDescent="0.3">
      <c r="C16">
        <v>600</v>
      </c>
      <c r="D16">
        <v>4800</v>
      </c>
    </row>
    <row r="17" spans="2:9" x14ac:dyDescent="0.3">
      <c r="F17" t="s">
        <v>82</v>
      </c>
    </row>
    <row r="18" spans="2:9" x14ac:dyDescent="0.3">
      <c r="C18" s="8">
        <f>C2</f>
        <v>2800</v>
      </c>
      <c r="D18">
        <v>6</v>
      </c>
      <c r="E18">
        <v>7</v>
      </c>
      <c r="F18">
        <v>8</v>
      </c>
      <c r="G18">
        <v>8</v>
      </c>
      <c r="H18">
        <v>9</v>
      </c>
      <c r="I18">
        <v>10</v>
      </c>
    </row>
    <row r="19" spans="2:9" x14ac:dyDescent="0.3">
      <c r="C19">
        <v>200</v>
      </c>
      <c r="D19">
        <f t="dataTable" ref="D19:I23" dt2D="1" dtr="1" r1="B2" r2="A2" ca="1"/>
        <v>1200</v>
      </c>
      <c r="E19">
        <v>1400</v>
      </c>
      <c r="F19">
        <v>1600</v>
      </c>
      <c r="G19">
        <v>1600</v>
      </c>
      <c r="H19">
        <v>1800</v>
      </c>
      <c r="I19">
        <v>2000</v>
      </c>
    </row>
    <row r="20" spans="2:9" x14ac:dyDescent="0.3">
      <c r="B20" t="s">
        <v>83</v>
      </c>
      <c r="C20">
        <v>300</v>
      </c>
      <c r="D20">
        <v>1800</v>
      </c>
      <c r="E20">
        <v>2100</v>
      </c>
      <c r="F20">
        <v>2400</v>
      </c>
      <c r="G20">
        <v>2400</v>
      </c>
      <c r="H20">
        <v>2700</v>
      </c>
      <c r="I20">
        <v>3000</v>
      </c>
    </row>
    <row r="21" spans="2:9" x14ac:dyDescent="0.3">
      <c r="C21">
        <v>400</v>
      </c>
      <c r="D21">
        <v>2400</v>
      </c>
      <c r="E21">
        <v>2800</v>
      </c>
      <c r="F21">
        <v>3200</v>
      </c>
      <c r="G21">
        <v>3200</v>
      </c>
      <c r="H21">
        <v>3600</v>
      </c>
      <c r="I21">
        <v>4000</v>
      </c>
    </row>
    <row r="22" spans="2:9" x14ac:dyDescent="0.3">
      <c r="C22">
        <v>500</v>
      </c>
      <c r="D22">
        <v>3000</v>
      </c>
      <c r="E22">
        <v>3500</v>
      </c>
      <c r="F22">
        <v>4000</v>
      </c>
      <c r="G22">
        <v>4000</v>
      </c>
      <c r="H22">
        <v>4500</v>
      </c>
      <c r="I22">
        <v>5000</v>
      </c>
    </row>
    <row r="23" spans="2:9" x14ac:dyDescent="0.3">
      <c r="C23">
        <v>600</v>
      </c>
      <c r="D23">
        <v>3600</v>
      </c>
      <c r="E23">
        <v>4200</v>
      </c>
      <c r="F23">
        <v>4800</v>
      </c>
      <c r="G23">
        <v>4800</v>
      </c>
      <c r="H23">
        <v>5400</v>
      </c>
      <c r="I23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886E-281D-4636-8EF3-8B346282FA0A}">
  <dimension ref="A1:D36"/>
  <sheetViews>
    <sheetView topLeftCell="A14" workbookViewId="0">
      <selection activeCell="D16" sqref="D16"/>
    </sheetView>
  </sheetViews>
  <sheetFormatPr defaultRowHeight="14.4" x14ac:dyDescent="0.3"/>
  <cols>
    <col min="1" max="1" width="15.88671875" customWidth="1"/>
    <col min="2" max="2" width="17.33203125" customWidth="1"/>
    <col min="3" max="3" width="14.5546875" customWidth="1"/>
    <col min="4" max="4" width="9.33203125" bestFit="1" customWidth="1"/>
  </cols>
  <sheetData>
    <row r="1" spans="1:4" ht="15" thickBot="1" x14ac:dyDescent="0.35">
      <c r="A1" s="10" t="s">
        <v>73</v>
      </c>
      <c r="B1" s="11" t="s">
        <v>74</v>
      </c>
      <c r="C1" s="11" t="s">
        <v>75</v>
      </c>
    </row>
    <row r="2" spans="1:4" ht="15" thickTop="1" x14ac:dyDescent="0.3">
      <c r="A2" s="12">
        <v>120000</v>
      </c>
      <c r="B2" s="16">
        <v>5000.0023594675258</v>
      </c>
      <c r="C2" s="14">
        <f>A2/B2</f>
        <v>23.999988674561219</v>
      </c>
      <c r="D2" s="8"/>
    </row>
    <row r="5" spans="1:4" x14ac:dyDescent="0.3">
      <c r="A5">
        <v>1</v>
      </c>
      <c r="B5" t="s">
        <v>73</v>
      </c>
      <c r="C5" t="s">
        <v>74</v>
      </c>
      <c r="D5" t="s">
        <v>75</v>
      </c>
    </row>
    <row r="6" spans="1:4" x14ac:dyDescent="0.3">
      <c r="B6" s="8">
        <v>150000</v>
      </c>
      <c r="C6" s="8">
        <v>6249.9992204156624</v>
      </c>
      <c r="D6">
        <f>B6/C6</f>
        <v>24.00000299360423</v>
      </c>
    </row>
    <row r="8" spans="1:4" x14ac:dyDescent="0.3">
      <c r="A8">
        <v>2</v>
      </c>
      <c r="B8" t="s">
        <v>73</v>
      </c>
      <c r="C8" t="s">
        <v>74</v>
      </c>
      <c r="D8" t="s">
        <v>75</v>
      </c>
    </row>
    <row r="9" spans="1:4" x14ac:dyDescent="0.3">
      <c r="B9" s="8">
        <v>300000</v>
      </c>
      <c r="C9" s="8">
        <v>8333.1939785015056</v>
      </c>
      <c r="D9">
        <f>B9/C9</f>
        <v>36.000602022940875</v>
      </c>
    </row>
    <row r="11" spans="1:4" x14ac:dyDescent="0.3">
      <c r="A11">
        <v>3</v>
      </c>
      <c r="B11" t="s">
        <v>73</v>
      </c>
      <c r="C11" t="s">
        <v>74</v>
      </c>
      <c r="D11" t="s">
        <v>75</v>
      </c>
    </row>
    <row r="12" spans="1:4" x14ac:dyDescent="0.3">
      <c r="B12" s="8">
        <v>200000</v>
      </c>
      <c r="C12" s="8">
        <v>8000</v>
      </c>
      <c r="D12">
        <f>B12/C12</f>
        <v>25</v>
      </c>
    </row>
    <row r="15" spans="1:4" ht="15" thickBot="1" x14ac:dyDescent="0.35">
      <c r="A15" s="10" t="s">
        <v>84</v>
      </c>
      <c r="B15" s="11" t="s">
        <v>85</v>
      </c>
      <c r="C15" s="11" t="s">
        <v>86</v>
      </c>
    </row>
    <row r="16" spans="1:4" ht="15" thickTop="1" x14ac:dyDescent="0.3">
      <c r="A16" s="17">
        <v>600</v>
      </c>
      <c r="B16" s="14">
        <v>420</v>
      </c>
      <c r="C16" s="14">
        <f>B16/A16*100</f>
        <v>70</v>
      </c>
    </row>
    <row r="19" spans="1:4" x14ac:dyDescent="0.3">
      <c r="A19">
        <v>1</v>
      </c>
      <c r="B19" t="s">
        <v>84</v>
      </c>
      <c r="C19" t="s">
        <v>85</v>
      </c>
      <c r="D19" t="s">
        <v>86</v>
      </c>
    </row>
    <row r="20" spans="1:4" x14ac:dyDescent="0.3">
      <c r="B20">
        <v>600</v>
      </c>
      <c r="C20">
        <v>449.99999999999977</v>
      </c>
      <c r="D20">
        <f>C20/B20*100</f>
        <v>74.999999999999972</v>
      </c>
    </row>
    <row r="22" spans="1:4" x14ac:dyDescent="0.3">
      <c r="A22">
        <v>2</v>
      </c>
      <c r="B22" t="s">
        <v>84</v>
      </c>
      <c r="C22" t="s">
        <v>85</v>
      </c>
      <c r="D22" t="s">
        <v>86</v>
      </c>
    </row>
    <row r="23" spans="1:4" x14ac:dyDescent="0.3">
      <c r="B23">
        <v>600</v>
      </c>
      <c r="C23">
        <v>540</v>
      </c>
      <c r="D23">
        <f>C23/B23*100</f>
        <v>90</v>
      </c>
    </row>
    <row r="25" spans="1:4" x14ac:dyDescent="0.3">
      <c r="A25">
        <v>3</v>
      </c>
      <c r="B25" t="s">
        <v>84</v>
      </c>
      <c r="C25" t="s">
        <v>85</v>
      </c>
      <c r="D25" t="s">
        <v>86</v>
      </c>
    </row>
    <row r="26" spans="1:4" x14ac:dyDescent="0.3">
      <c r="B26">
        <v>600</v>
      </c>
      <c r="C26">
        <v>360.00000000000006</v>
      </c>
      <c r="D26">
        <f>C26/B26*100</f>
        <v>60.000000000000007</v>
      </c>
    </row>
    <row r="29" spans="1:4" ht="15" thickBot="1" x14ac:dyDescent="0.35">
      <c r="A29" s="10" t="s">
        <v>87</v>
      </c>
      <c r="B29" s="11" t="s">
        <v>88</v>
      </c>
      <c r="C29" s="11" t="s">
        <v>89</v>
      </c>
    </row>
    <row r="30" spans="1:4" ht="15" thickTop="1" x14ac:dyDescent="0.3">
      <c r="A30" s="17">
        <v>75</v>
      </c>
      <c r="B30" s="14">
        <v>1.7</v>
      </c>
      <c r="C30" s="14">
        <f>A30/(B30^2)</f>
        <v>25.95155709342561</v>
      </c>
    </row>
    <row r="32" spans="1:4" x14ac:dyDescent="0.3">
      <c r="A32">
        <v>1</v>
      </c>
      <c r="B32" t="s">
        <v>87</v>
      </c>
      <c r="C32" t="s">
        <v>88</v>
      </c>
      <c r="D32" t="s">
        <v>89</v>
      </c>
    </row>
    <row r="33" spans="1:4" x14ac:dyDescent="0.3">
      <c r="B33">
        <v>72.250000000000014</v>
      </c>
      <c r="C33">
        <v>1.7</v>
      </c>
      <c r="D33">
        <f>B33/(C33^2)</f>
        <v>25.000000000000007</v>
      </c>
    </row>
    <row r="35" spans="1:4" x14ac:dyDescent="0.3">
      <c r="A35">
        <v>2</v>
      </c>
      <c r="B35" t="s">
        <v>87</v>
      </c>
      <c r="C35" t="s">
        <v>88</v>
      </c>
      <c r="D35" t="s">
        <v>89</v>
      </c>
    </row>
    <row r="36" spans="1:4" x14ac:dyDescent="0.3">
      <c r="B36">
        <v>63.579999999999991</v>
      </c>
      <c r="C36">
        <v>1.7</v>
      </c>
      <c r="D36">
        <f>B36/(C36^2)</f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0200-B044-45A9-BFD2-B75DC10931D3}">
  <dimension ref="A1:E2"/>
  <sheetViews>
    <sheetView topLeftCell="D1" workbookViewId="0">
      <selection activeCell="G7" sqref="G7"/>
    </sheetView>
  </sheetViews>
  <sheetFormatPr defaultRowHeight="14.4" x14ac:dyDescent="0.3"/>
  <cols>
    <col min="1" max="1" width="12.109375" customWidth="1"/>
    <col min="2" max="2" width="11.44140625" customWidth="1"/>
    <col min="3" max="3" width="11" customWidth="1"/>
    <col min="4" max="4" width="15" customWidth="1"/>
  </cols>
  <sheetData>
    <row r="1" spans="1:5" ht="15" thickBot="1" x14ac:dyDescent="0.35">
      <c r="A1" s="10" t="s">
        <v>90</v>
      </c>
      <c r="B1" s="11" t="s">
        <v>91</v>
      </c>
      <c r="C1" s="11" t="s">
        <v>92</v>
      </c>
      <c r="D1" s="11" t="s">
        <v>93</v>
      </c>
      <c r="E1" s="11" t="s">
        <v>94</v>
      </c>
    </row>
    <row r="2" spans="1:5" ht="15" thickTop="1" x14ac:dyDescent="0.3">
      <c r="A2" s="17">
        <v>12000</v>
      </c>
      <c r="B2" s="14">
        <v>6000</v>
      </c>
      <c r="C2" s="14">
        <v>2500</v>
      </c>
      <c r="D2" s="14">
        <v>3000</v>
      </c>
      <c r="E2" s="14">
        <f>SUM(A2:D2)</f>
        <v>23500</v>
      </c>
    </row>
  </sheetData>
  <scenarios current="0" sqref="E2">
    <scenario name="Best Case" locked="1" count="4" user="Vishnu K.Unni" comment="Created by Vishnu K.Unni on 05-08-2026">
      <inputCells r="A2" val="10000"/>
      <inputCells r="B2" val="5000"/>
      <inputCells r="C2" val="2000"/>
      <inputCells r="D2" val="2000"/>
    </scenario>
    <scenario name="Expected Case" locked="1" count="4" user="Vishnu K.Unni" comment="Created by Vishnu K.Unni on 05-08-2026">
      <inputCells r="A2" val="12000"/>
      <inputCells r="B2" val="6000"/>
      <inputCells r="C2" val="2500"/>
      <inputCells r="D2" val="3000"/>
    </scenario>
    <scenario name="Worst Case" locked="1" count="4" user="Vishnu K.Unni" comment="Created by Vishnu K.Unni on 05-08-2026">
      <inputCells r="A2" val="15000"/>
      <inputCells r="B2" val="8000"/>
      <inputCells r="C2" val="4000"/>
      <inputCells r="D2" val="5000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96C8-CDD1-44FF-8995-763ED2975D2B}">
  <sheetPr>
    <outlinePr summaryBelow="0"/>
  </sheetPr>
  <dimension ref="B1:G14"/>
  <sheetViews>
    <sheetView showGridLines="0" topLeftCell="B1" workbookViewId="0"/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20" t="s">
        <v>104</v>
      </c>
      <c r="C2" s="20"/>
      <c r="D2" s="25"/>
      <c r="E2" s="25"/>
      <c r="F2" s="25"/>
      <c r="G2" s="25"/>
    </row>
    <row r="3" spans="2:7" ht="15.6" collapsed="1" x14ac:dyDescent="0.3">
      <c r="B3" s="19"/>
      <c r="C3" s="19"/>
      <c r="D3" s="26" t="s">
        <v>106</v>
      </c>
      <c r="E3" s="26" t="s">
        <v>100</v>
      </c>
      <c r="F3" s="26" t="s">
        <v>102</v>
      </c>
      <c r="G3" s="26" t="s">
        <v>103</v>
      </c>
    </row>
    <row r="4" spans="2:7" ht="30.6" hidden="1" outlineLevel="1" x14ac:dyDescent="0.3">
      <c r="B4" s="22"/>
      <c r="C4" s="22"/>
      <c r="E4" s="28" t="s">
        <v>101</v>
      </c>
      <c r="F4" s="28" t="s">
        <v>101</v>
      </c>
      <c r="G4" s="28" t="s">
        <v>101</v>
      </c>
    </row>
    <row r="5" spans="2:7" x14ac:dyDescent="0.3">
      <c r="B5" s="23" t="s">
        <v>105</v>
      </c>
      <c r="C5" s="23"/>
      <c r="D5" s="21"/>
      <c r="E5" s="21"/>
      <c r="F5" s="21"/>
      <c r="G5" s="21"/>
    </row>
    <row r="6" spans="2:7" outlineLevel="1" x14ac:dyDescent="0.3">
      <c r="B6" s="22"/>
      <c r="C6" s="22" t="s">
        <v>95</v>
      </c>
      <c r="D6">
        <v>12000</v>
      </c>
      <c r="E6" s="27">
        <v>10000</v>
      </c>
      <c r="F6" s="27">
        <v>12000</v>
      </c>
      <c r="G6" s="27">
        <v>15000</v>
      </c>
    </row>
    <row r="7" spans="2:7" outlineLevel="1" x14ac:dyDescent="0.3">
      <c r="B7" s="22"/>
      <c r="C7" s="22" t="s">
        <v>96</v>
      </c>
      <c r="D7">
        <v>6000</v>
      </c>
      <c r="E7" s="27">
        <v>5000</v>
      </c>
      <c r="F7" s="27">
        <v>6000</v>
      </c>
      <c r="G7" s="27">
        <v>8000</v>
      </c>
    </row>
    <row r="8" spans="2:7" outlineLevel="1" x14ac:dyDescent="0.3">
      <c r="B8" s="22"/>
      <c r="C8" s="22" t="s">
        <v>97</v>
      </c>
      <c r="D8">
        <v>2500</v>
      </c>
      <c r="E8" s="27">
        <v>2000</v>
      </c>
      <c r="F8" s="27">
        <v>2500</v>
      </c>
      <c r="G8" s="27">
        <v>4000</v>
      </c>
    </row>
    <row r="9" spans="2:7" outlineLevel="1" x14ac:dyDescent="0.3">
      <c r="B9" s="22"/>
      <c r="C9" s="22" t="s">
        <v>98</v>
      </c>
      <c r="D9">
        <v>3000</v>
      </c>
      <c r="E9" s="27">
        <v>2000</v>
      </c>
      <c r="F9" s="27">
        <v>3000</v>
      </c>
      <c r="G9" s="27">
        <v>5000</v>
      </c>
    </row>
    <row r="10" spans="2:7" x14ac:dyDescent="0.3">
      <c r="B10" s="23" t="s">
        <v>107</v>
      </c>
      <c r="C10" s="23"/>
      <c r="D10" s="21"/>
      <c r="E10" s="21"/>
      <c r="F10" s="21"/>
      <c r="G10" s="21"/>
    </row>
    <row r="11" spans="2:7" ht="15" outlineLevel="1" thickBot="1" x14ac:dyDescent="0.35">
      <c r="B11" s="24"/>
      <c r="C11" s="24" t="s">
        <v>99</v>
      </c>
      <c r="D11" s="18">
        <v>23500</v>
      </c>
      <c r="E11" s="18">
        <v>19000</v>
      </c>
      <c r="F11" s="18">
        <v>23500</v>
      </c>
      <c r="G11" s="18">
        <v>32000</v>
      </c>
    </row>
    <row r="12" spans="2:7" x14ac:dyDescent="0.3">
      <c r="B12" t="s">
        <v>108</v>
      </c>
    </row>
    <row r="13" spans="2:7" x14ac:dyDescent="0.3">
      <c r="B13" t="s">
        <v>109</v>
      </c>
    </row>
    <row r="14" spans="2:7" x14ac:dyDescent="0.3">
      <c r="B1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2F14-CF49-4950-A8C6-ADD8AF59354C}">
  <dimension ref="A1:E2"/>
  <sheetViews>
    <sheetView topLeftCell="J1" workbookViewId="0">
      <selection activeCell="E2" sqref="E2"/>
    </sheetView>
  </sheetViews>
  <sheetFormatPr defaultRowHeight="14.4" x14ac:dyDescent="0.3"/>
  <sheetData>
    <row r="1" spans="1:5" ht="15" thickBot="1" x14ac:dyDescent="0.35">
      <c r="A1" s="10" t="s">
        <v>111</v>
      </c>
      <c r="B1" s="11" t="s">
        <v>112</v>
      </c>
      <c r="C1" s="11" t="s">
        <v>113</v>
      </c>
      <c r="D1" s="11" t="s">
        <v>114</v>
      </c>
      <c r="E1" s="11" t="s">
        <v>94</v>
      </c>
    </row>
    <row r="2" spans="1:5" ht="15" thickTop="1" x14ac:dyDescent="0.3">
      <c r="A2" s="17">
        <v>45000</v>
      </c>
      <c r="B2" s="14">
        <v>25000</v>
      </c>
      <c r="C2" s="14">
        <v>5000</v>
      </c>
      <c r="D2" s="14">
        <v>3000</v>
      </c>
      <c r="E2" s="14">
        <f>SUM(A2:D2)</f>
        <v>78000</v>
      </c>
    </row>
  </sheetData>
  <scenarios current="2" sqref="E2">
    <scenario name="Budget" locked="1" count="4" user="Vishnu K.Unni" comment="Created by Vishnu K.Unni on 05-08-2026_x000a_Modified by Vishnu K.Unni on 05-08-2026">
      <inputCells r="A2" val="40000"/>
      <inputCells r="B2" val="20000"/>
      <inputCells r="C2" val="3000"/>
      <inputCells r="D2" val="2000"/>
    </scenario>
    <scenario name="Standard" locked="1" count="4" user="Vishnu K.Unni" comment="Created by Vishnu K.Unni on 05-08-2026_x000a_Modified by Vishnu K.Unni on 05-08-2026">
      <inputCells r="A2" val="45000"/>
      <inputCells r="B2" val="25000"/>
      <inputCells r="C2" val="5000"/>
      <inputCells r="D2" val="3000"/>
    </scenario>
    <scenario name="Premium" locked="1" count="4" user="Vishnu K.Unni" comment="Created by Vishnu K.Unni on 05-08-2026_x000a_Modified by Vishnu K.Unni on 05-08-2026">
      <inputCells r="A2" val="55000"/>
      <inputCells r="B2" val="35000"/>
      <inputCells r="C2" val="8000"/>
      <inputCells r="D2" val="5000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0AEC-572D-4BD4-BB0C-3F1EFC1F77EB}">
  <sheetPr>
    <outlinePr summaryBelow="0"/>
  </sheetPr>
  <dimension ref="B1:G14"/>
  <sheetViews>
    <sheetView showGridLines="0" workbookViewId="0">
      <selection activeCell="G22" sqref="G22"/>
    </sheetView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20" t="s">
        <v>104</v>
      </c>
      <c r="C2" s="20"/>
      <c r="D2" s="25"/>
      <c r="E2" s="25"/>
      <c r="F2" s="25"/>
      <c r="G2" s="25"/>
    </row>
    <row r="3" spans="2:7" ht="15.6" collapsed="1" x14ac:dyDescent="0.3">
      <c r="B3" s="19"/>
      <c r="C3" s="19"/>
      <c r="D3" s="26" t="s">
        <v>106</v>
      </c>
      <c r="E3" s="26" t="s">
        <v>115</v>
      </c>
      <c r="F3" s="26" t="s">
        <v>116</v>
      </c>
      <c r="G3" s="26" t="s">
        <v>117</v>
      </c>
    </row>
    <row r="4" spans="2:7" ht="61.2" hidden="1" outlineLevel="1" x14ac:dyDescent="0.3">
      <c r="B4" s="22"/>
      <c r="C4" s="22"/>
      <c r="E4" s="28" t="s">
        <v>118</v>
      </c>
      <c r="F4" s="28" t="s">
        <v>118</v>
      </c>
      <c r="G4" s="28" t="s">
        <v>118</v>
      </c>
    </row>
    <row r="5" spans="2:7" x14ac:dyDescent="0.3">
      <c r="B5" s="23" t="s">
        <v>105</v>
      </c>
      <c r="C5" s="23"/>
      <c r="D5" s="21"/>
      <c r="E5" s="21"/>
      <c r="F5" s="21"/>
      <c r="G5" s="21"/>
    </row>
    <row r="6" spans="2:7" outlineLevel="1" x14ac:dyDescent="0.3">
      <c r="B6" s="22"/>
      <c r="C6" s="22" t="s">
        <v>95</v>
      </c>
      <c r="D6">
        <v>45000</v>
      </c>
      <c r="E6" s="27">
        <v>40000</v>
      </c>
      <c r="F6" s="27">
        <v>45000</v>
      </c>
      <c r="G6" s="27">
        <v>55000</v>
      </c>
    </row>
    <row r="7" spans="2:7" outlineLevel="1" x14ac:dyDescent="0.3">
      <c r="B7" s="22"/>
      <c r="C7" s="22" t="s">
        <v>96</v>
      </c>
      <c r="D7">
        <v>25000</v>
      </c>
      <c r="E7" s="27">
        <v>20000</v>
      </c>
      <c r="F7" s="27">
        <v>25000</v>
      </c>
      <c r="G7" s="27">
        <v>35000</v>
      </c>
    </row>
    <row r="8" spans="2:7" outlineLevel="1" x14ac:dyDescent="0.3">
      <c r="B8" s="22"/>
      <c r="C8" s="22" t="s">
        <v>97</v>
      </c>
      <c r="D8">
        <v>5000</v>
      </c>
      <c r="E8" s="27">
        <v>3000</v>
      </c>
      <c r="F8" s="27">
        <v>5000</v>
      </c>
      <c r="G8" s="27">
        <v>8000</v>
      </c>
    </row>
    <row r="9" spans="2:7" outlineLevel="1" x14ac:dyDescent="0.3">
      <c r="B9" s="22"/>
      <c r="C9" s="22" t="s">
        <v>98</v>
      </c>
      <c r="D9">
        <v>3000</v>
      </c>
      <c r="E9" s="27">
        <v>2000</v>
      </c>
      <c r="F9" s="27">
        <v>3000</v>
      </c>
      <c r="G9" s="27">
        <v>5000</v>
      </c>
    </row>
    <row r="10" spans="2:7" x14ac:dyDescent="0.3">
      <c r="B10" s="23" t="s">
        <v>107</v>
      </c>
      <c r="C10" s="23"/>
      <c r="D10" s="21"/>
      <c r="E10" s="21"/>
      <c r="F10" s="21"/>
      <c r="G10" s="21"/>
    </row>
    <row r="11" spans="2:7" ht="15" outlineLevel="1" thickBot="1" x14ac:dyDescent="0.35">
      <c r="B11" s="24"/>
      <c r="C11" s="24" t="s">
        <v>99</v>
      </c>
      <c r="D11" s="18">
        <v>78000</v>
      </c>
      <c r="E11" s="18">
        <v>65000</v>
      </c>
      <c r="F11" s="18">
        <v>78000</v>
      </c>
      <c r="G11" s="18">
        <v>103000</v>
      </c>
    </row>
    <row r="12" spans="2:7" x14ac:dyDescent="0.3">
      <c r="B12" t="s">
        <v>108</v>
      </c>
    </row>
    <row r="13" spans="2:7" x14ac:dyDescent="0.3">
      <c r="B13" t="s">
        <v>109</v>
      </c>
    </row>
    <row r="14" spans="2:7" x14ac:dyDescent="0.3">
      <c r="B1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BusinessData</vt:lpstr>
      <vt:lpstr>Data Table (dataset 1)</vt:lpstr>
      <vt:lpstr>Data Table (dataset 2)</vt:lpstr>
      <vt:lpstr>Goal Seek</vt:lpstr>
      <vt:lpstr>Scenario Manager 1</vt:lpstr>
      <vt:lpstr>Scenario Summary 1</vt:lpstr>
      <vt:lpstr>Scenario Manager 2</vt:lpstr>
      <vt:lpstr>Scenario Summary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2026-03-19T05:00:40Z</dcterms:created>
  <dcterms:modified xsi:type="dcterms:W3CDTF">2026-08-07T02:12:52Z</dcterms:modified>
</cp:coreProperties>
</file>